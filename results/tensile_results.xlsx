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hmedabad_University\Monsoon2026\MATERIAL\ansys-tensile-test-simulation\results\"/>
    </mc:Choice>
  </mc:AlternateContent>
  <xr:revisionPtr revIDLastSave="0" documentId="13_ncr:1_{60EBA207-B87C-4042-BBA3-74361A7B5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Inputs" sheetId="2" r:id="rId2"/>
    <sheet name="Results_FEA" sheetId="3" r:id="rId3"/>
    <sheet name="Validation" sheetId="4" r:id="rId4"/>
    <sheet name="Path_Distribution" sheetId="5" r:id="rId5"/>
    <sheet name="Mesh_Convergence" sheetId="6" r:id="rId6"/>
    <sheet name="Char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6" l="1"/>
  <c r="G10" i="6"/>
  <c r="G9" i="6"/>
  <c r="G8" i="6"/>
  <c r="G7" i="6"/>
  <c r="G6" i="6"/>
  <c r="L8" i="4"/>
  <c r="M8" i="4" s="1"/>
  <c r="N8" i="4" s="1"/>
  <c r="J8" i="4"/>
  <c r="G8" i="4"/>
  <c r="D8" i="4"/>
  <c r="B8" i="4"/>
  <c r="A8" i="4"/>
  <c r="L7" i="4"/>
  <c r="J7" i="4"/>
  <c r="G7" i="4"/>
  <c r="D7" i="4"/>
  <c r="B7" i="4"/>
  <c r="A7" i="4"/>
  <c r="L6" i="4"/>
  <c r="J6" i="4"/>
  <c r="G6" i="4"/>
  <c r="D6" i="4"/>
  <c r="M6" i="4" s="1"/>
  <c r="N6" i="4" s="1"/>
  <c r="B6" i="4"/>
  <c r="A6" i="4"/>
  <c r="L5" i="4"/>
  <c r="J5" i="4"/>
  <c r="G5" i="4"/>
  <c r="D5" i="4"/>
  <c r="B5" i="4"/>
  <c r="A5" i="4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B16" i="2"/>
  <c r="B15" i="2"/>
  <c r="B14" i="2"/>
  <c r="B18" i="2" s="1"/>
  <c r="C8" i="4" s="1"/>
  <c r="B17" i="2" l="1"/>
  <c r="M5" i="4"/>
  <c r="N5" i="4" s="1"/>
  <c r="M7" i="4"/>
  <c r="N7" i="4" s="1"/>
  <c r="I7" i="4"/>
  <c r="K7" i="4" s="1"/>
  <c r="I6" i="4"/>
  <c r="K6" i="4" s="1"/>
  <c r="E8" i="4"/>
  <c r="F8" i="4"/>
  <c r="H8" i="4" s="1"/>
  <c r="I8" i="4"/>
  <c r="K8" i="4" s="1"/>
  <c r="I5" i="4"/>
  <c r="K5" i="4"/>
  <c r="C6" i="4"/>
  <c r="C7" i="4"/>
  <c r="C5" i="4"/>
  <c r="F5" i="4" s="1"/>
  <c r="H5" i="4" s="1"/>
  <c r="F7" i="4" l="1"/>
  <c r="H7" i="4" s="1"/>
  <c r="E7" i="4"/>
  <c r="E6" i="4"/>
  <c r="F6" i="4"/>
  <c r="H6" i="4" s="1"/>
  <c r="E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S3G6</author>
  </authors>
  <commentList>
    <comment ref="B1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Estimated from CAD face areas: grip side face 98.57 mm2 / 3 mm thickness x 2 ends</t>
        </r>
      </text>
    </comment>
    <comment ref="B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Estimated: 165 - 57 - 65.71 mm</t>
        </r>
      </text>
    </comment>
    <comment ref="B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Average of grip (19 mm) and gauge (13 mm) widths - approximation</t>
        </r>
      </text>
    </comment>
  </commentList>
</comments>
</file>

<file path=xl/sharedStrings.xml><?xml version="1.0" encoding="utf-8"?>
<sst xmlns="http://schemas.openxmlformats.org/spreadsheetml/2006/main" count="135" uniqueCount="121">
  <si>
    <t>ENR108 Lab 3 - Simulation of Tensile Testing Using ANSYS Mechanical</t>
  </si>
  <si>
    <t>© ENR108 Section 3 · Group S3G6 · Ahmedabad University · Lab 3</t>
  </si>
  <si>
    <t>Sheets</t>
  </si>
  <si>
    <t>Inputs</t>
  </si>
  <si>
    <t>Load, geometry and material properties (blue = input values)</t>
  </si>
  <si>
    <t>Results_FEA</t>
  </si>
  <si>
    <t>ANSYS results for all 4 materials (Step 16 comparison data)</t>
  </si>
  <si>
    <t>Validation</t>
  </si>
  <si>
    <t>Hand calculations (formulas) vs ANSYS, % error and factor of safety</t>
  </si>
  <si>
    <t>Path_Distribution</t>
  </si>
  <si>
    <t>Stress, strain and deformation along the centre-line, per material</t>
  </si>
  <si>
    <t>Mesh_Convergence</t>
  </si>
  <si>
    <t>Structural Steel results for element sizes 6 mm to 1 mm</t>
  </si>
  <si>
    <t>Charts</t>
  </si>
  <si>
    <t>Native Excel charts of the comparison</t>
  </si>
  <si>
    <t>Legend</t>
  </si>
  <si>
    <t>Blue text</t>
  </si>
  <si>
    <t>Hard-coded input (from ANSYS library or lab handout)</t>
  </si>
  <si>
    <t>Black text</t>
  </si>
  <si>
    <t>Formula</t>
  </si>
  <si>
    <t>Software</t>
  </si>
  <si>
    <t>ANSYS Student 2026 R1 (Workbench + Mechanical), Static Structural</t>
  </si>
  <si>
    <t>Load case</t>
  </si>
  <si>
    <t>Fixed support at X = +82.5 mm end; Force X = -5000 N on X = -82.5 mm end</t>
  </si>
  <si>
    <t>Mesh (main runs)</t>
  </si>
  <si>
    <t>Default program-controlled mesh: 564 nodes, 63 elements</t>
  </si>
  <si>
    <t>Date of simulation</t>
  </si>
  <si>
    <t>5 October 2026</t>
  </si>
  <si>
    <t>Inputs: load, geometry and material properties</t>
  </si>
  <si>
    <t>Source: lab handout; geometry measured from tensile.IGS in ANSYS; materials from ANSYS General Materials library</t>
  </si>
  <si>
    <t>Parameter</t>
  </si>
  <si>
    <t>Value</t>
  </si>
  <si>
    <t>Applied force F (N)</t>
  </si>
  <si>
    <t>Gauge width (mm)</t>
  </si>
  <si>
    <t>Thickness (mm)</t>
  </si>
  <si>
    <t>Grip width (mm)</t>
  </si>
  <si>
    <t>Overall length (mm)</t>
  </si>
  <si>
    <t>Gauge length (mm)</t>
  </si>
  <si>
    <t>Grip length, both ends (mm)</t>
  </si>
  <si>
    <t>Fillet length, both ends (mm)</t>
  </si>
  <si>
    <t>Fillet average width (mm)</t>
  </si>
  <si>
    <t>Gauge area A (mm²)</t>
  </si>
  <si>
    <t>Grip area (mm²)</t>
  </si>
  <si>
    <t>Fillet average area (mm²)</t>
  </si>
  <si>
    <t>Σ(L/A) for elongation (1/mm)</t>
  </si>
  <si>
    <t>Nominal gauge stress F/A (MPa)</t>
  </si>
  <si>
    <t>Material</t>
  </si>
  <si>
    <t>Young's modulus E (GPa)</t>
  </si>
  <si>
    <t>Poisson's ratio</t>
  </si>
  <si>
    <t>Density (kg/m³)</t>
  </si>
  <si>
    <t>Tensile yield (MPa)</t>
  </si>
  <si>
    <t>Tensile ultimate (MPa)</t>
  </si>
  <si>
    <t>Strength used for FoS (MPa)</t>
  </si>
  <si>
    <t>Basis</t>
  </si>
  <si>
    <t>Structural Steel</t>
  </si>
  <si>
    <t>Tensile yield</t>
  </si>
  <si>
    <t>Aluminum Alloy</t>
  </si>
  <si>
    <t>Polyethylene</t>
  </si>
  <si>
    <t>Concrete</t>
  </si>
  <si>
    <t>n/a (brittle)</t>
  </si>
  <si>
    <t>Tensile ultimate (brittle)</t>
  </si>
  <si>
    <t>ANSYS results - Step 16 comparison (default mesh)</t>
  </si>
  <si>
    <t>Max/Min/Avg over the whole body. Units: mm, mm/mm, MPa, N</t>
  </si>
  <si>
    <t>Max total deformation (mm)</t>
  </si>
  <si>
    <t>Min total deformation (mm)</t>
  </si>
  <si>
    <t>Avg total deformation (mm)</t>
  </si>
  <si>
    <t>Max equiv. strain (mm/mm)</t>
  </si>
  <si>
    <t>Min equiv. strain (mm/mm)</t>
  </si>
  <si>
    <t>Avg equiv. strain (mm/mm)</t>
  </si>
  <si>
    <t>Max von Mises stress (MPa)</t>
  </si>
  <si>
    <t>Min von Mises stress (MPa)</t>
  </si>
  <si>
    <t>Avg von Mises stress (MPa)</t>
  </si>
  <si>
    <t>Directional def. X min (mm)</t>
  </si>
  <si>
    <t>Max normal stress X (MPa)</t>
  </si>
  <si>
    <t>Reaction force X (N)</t>
  </si>
  <si>
    <t>Nodes</t>
  </si>
  <si>
    <t>Elements</t>
  </si>
  <si>
    <t>Ratio to steel</t>
  </si>
  <si>
    <t>Deformation / steel</t>
  </si>
  <si>
    <t>Strain / steel</t>
  </si>
  <si>
    <t>Stress / steel</t>
  </si>
  <si>
    <t>E_steel / E</t>
  </si>
  <si>
    <t>Deformation/steel matches E_steel/E: deformation is inversely proportional to Young's modulus.</t>
  </si>
  <si>
    <t>Validation: hand calculation vs ANSYS</t>
  </si>
  <si>
    <t>σ = F/A;  ε = σ/E;  ΔL = (F/E)·Σ(L/A);  FoS = strength / peak stress</t>
  </si>
  <si>
    <t>E (MPa)</t>
  </si>
  <si>
    <t>Hand stress (MPa)</t>
  </si>
  <si>
    <t>ANSYS max stress (MPa)</t>
  </si>
  <si>
    <t>Stress error %</t>
  </si>
  <si>
    <t>Hand strain</t>
  </si>
  <si>
    <t>ANSYS max strain</t>
  </si>
  <si>
    <t>Strain error %</t>
  </si>
  <si>
    <t>Hand deformation (mm)</t>
  </si>
  <si>
    <t>ANSYS max deformation (mm)</t>
  </si>
  <si>
    <t>Deformation error %</t>
  </si>
  <si>
    <t>Strength (MPa)</t>
  </si>
  <si>
    <t>Factor of safety</t>
  </si>
  <si>
    <t>Safe? (FoS &gt; 1)</t>
  </si>
  <si>
    <t>Errors of ~2-3% come from stress concentration at the fillet, the coarse default mesh and the fillet approximation in the hand calculation.</t>
  </si>
  <si>
    <t>Distribution along the centre-line (X = -82.5 to +82.5 mm, Y = Z = 0)</t>
  </si>
  <si>
    <t>Exported from ANSYS path results, 152 points per material</t>
  </si>
  <si>
    <t>X position (mm)</t>
  </si>
  <si>
    <t>Steel stress (MPa)</t>
  </si>
  <si>
    <t>Steel strain</t>
  </si>
  <si>
    <t>Steel deformation (mm)</t>
  </si>
  <si>
    <t>Aluminium stress (MPa)</t>
  </si>
  <si>
    <t>Aluminium strain</t>
  </si>
  <si>
    <t>Aluminium deformation (mm)</t>
  </si>
  <si>
    <t>Polyethylene stress (MPa)</t>
  </si>
  <si>
    <t>Polyethylene strain</t>
  </si>
  <si>
    <t>Polyethylene deformation (mm)</t>
  </si>
  <si>
    <t>Concrete stress (MPa)</t>
  </si>
  <si>
    <t>Concrete strain</t>
  </si>
  <si>
    <t>Concrete deformation (mm)</t>
  </si>
  <si>
    <t>Mesh convergence study - Structural Steel</t>
  </si>
  <si>
    <t>Body sizing applied to the whole specimen; default mesh shown for reference</t>
  </si>
  <si>
    <t>Element size (mm)</t>
  </si>
  <si>
    <t>Max deformation (mm)</t>
  </si>
  <si>
    <t>Max equiv. strain</t>
  </si>
  <si>
    <t>Change in stress vs previous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</si>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</sst>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E+00"/>
    <numFmt numFmtId="166" formatCode="0.000"/>
    <numFmt numFmtId="167" formatCode="0.0%"/>
    <numFmt numFmtId="168" formatCode="0.00000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95959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i/>
      <sz val="1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8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2" fontId="6" fillId="0" borderId="1" xfId="0" applyNumberFormat="1" applyFont="1" applyBorder="1"/>
    <xf numFmtId="2" fontId="8" fillId="0" borderId="0" xfId="0" applyNumberFormat="1" applyFont="1"/>
    <xf numFmtId="166" fontId="8" fillId="0" borderId="0" xfId="0" applyNumberFormat="1" applyFont="1"/>
    <xf numFmtId="0" fontId="7" fillId="0" borderId="0" xfId="0" applyFont="1"/>
    <xf numFmtId="1" fontId="4" fillId="0" borderId="1" xfId="0" applyNumberFormat="1" applyFont="1" applyBorder="1"/>
    <xf numFmtId="2" fontId="4" fillId="0" borderId="1" xfId="0" applyNumberFormat="1" applyFont="1" applyBorder="1"/>
    <xf numFmtId="167" fontId="4" fillId="0" borderId="1" xfId="0" applyNumberFormat="1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164" fontId="8" fillId="0" borderId="0" xfId="0" applyNumberFormat="1" applyFont="1"/>
    <xf numFmtId="165" fontId="8" fillId="0" borderId="0" xfId="0" applyNumberFormat="1" applyFont="1"/>
    <xf numFmtId="0" fontId="8" fillId="0" borderId="1" xfId="0" applyFont="1" applyBorder="1"/>
    <xf numFmtId="168" fontId="8" fillId="0" borderId="1" xfId="0" applyNumberFormat="1" applyFont="1" applyBorder="1"/>
    <xf numFmtId="165" fontId="8" fillId="0" borderId="1" xfId="0" applyNumberFormat="1" applyFont="1" applyBorder="1"/>
    <xf numFmtId="2" fontId="8" fillId="0" borderId="1" xfId="0" applyNumberFormat="1" applyFont="1" applyBorder="1"/>
    <xf numFmtId="168" fontId="6" fillId="0" borderId="1" xfId="0" applyNumberFormat="1" applyFont="1" applyBorder="1"/>
    <xf numFmtId="10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Max total deformation (log scale)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Results_FEA!$B$4</c:f>
              <c:strCache>
                <c:ptCount val="1"/>
                <c:pt idx="0">
                  <c:v>Max total deformation (mm)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Results_FEA!$A$5:$A$8</c:f>
              <c:strCache>
                <c:ptCount val="4"/>
                <c:pt idx="0">
                  <c:v>Structural Steel</c:v>
                </c:pt>
                <c:pt idx="1">
                  <c:v>Aluminum Alloy</c:v>
                </c:pt>
                <c:pt idx="2">
                  <c:v>Polyethylene</c:v>
                </c:pt>
                <c:pt idx="3">
                  <c:v>Concrete</c:v>
                </c:pt>
              </c:strCache>
            </c:strRef>
          </c:cat>
          <c:val>
            <c:numRef>
              <c:f>Results_FEA!$B$5:$B$8</c:f>
              <c:numCache>
                <c:formatCode>0.0000</c:formatCode>
                <c:ptCount val="4"/>
                <c:pt idx="0">
                  <c:v>8.9396094040916169E-2</c:v>
                </c:pt>
                <c:pt idx="1">
                  <c:v>0.25173241220181958</c:v>
                </c:pt>
                <c:pt idx="2">
                  <c:v>16.227191127326378</c:v>
                </c:pt>
                <c:pt idx="3">
                  <c:v>0.59659042903191151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0-4ADF-877D-1DF4FD89A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mm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Max equivalent strain (log scale)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Results_FEA!$E$4</c:f>
              <c:strCache>
                <c:ptCount val="1"/>
                <c:pt idx="0">
                  <c:v>Max equiv. strain (mm/mm)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Results_FEA!$A$5:$A$8</c:f>
              <c:strCache>
                <c:ptCount val="4"/>
                <c:pt idx="0">
                  <c:v>Structural Steel</c:v>
                </c:pt>
                <c:pt idx="1">
                  <c:v>Aluminum Alloy</c:v>
                </c:pt>
                <c:pt idx="2">
                  <c:v>Polyethylene</c:v>
                </c:pt>
                <c:pt idx="3">
                  <c:v>Concrete</c:v>
                </c:pt>
              </c:strCache>
            </c:strRef>
          </c:cat>
          <c:val>
            <c:numRef>
              <c:f>Results_FEA!$E$5:$E$8</c:f>
              <c:numCache>
                <c:formatCode>0.000E+00</c:formatCode>
                <c:ptCount val="4"/>
                <c:pt idx="0">
                  <c:v>6.5882655713510937E-4</c:v>
                </c:pt>
                <c:pt idx="1">
                  <c:v>1.8557756825672211E-3</c:v>
                </c:pt>
                <c:pt idx="2">
                  <c:v>0.1197680325452796</c:v>
                </c:pt>
                <c:pt idx="3">
                  <c:v>4.3929410699418241E-3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6-4476-B144-D5BC2783D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mm/mm</a:t>
                </a:r>
              </a:p>
            </c:rich>
          </c:tx>
          <c:overlay val="1"/>
        </c:title>
        <c:numFmt formatCode="0.000E+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Max von Mises stress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Results_FEA!$H$4</c:f>
              <c:strCache>
                <c:ptCount val="1"/>
                <c:pt idx="0">
                  <c:v>Max von Mises stress (MPa)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Results_FEA!$A$5:$A$8</c:f>
              <c:strCache>
                <c:ptCount val="4"/>
                <c:pt idx="0">
                  <c:v>Structural Steel</c:v>
                </c:pt>
                <c:pt idx="1">
                  <c:v>Aluminum Alloy</c:v>
                </c:pt>
                <c:pt idx="2">
                  <c:v>Polyethylene</c:v>
                </c:pt>
                <c:pt idx="3">
                  <c:v>Concrete</c:v>
                </c:pt>
              </c:strCache>
            </c:strRef>
          </c:cat>
          <c:val>
            <c:numRef>
              <c:f>Results_FEA!$H$5:$H$8</c:f>
              <c:numCache>
                <c:formatCode>0.00</c:formatCode>
                <c:ptCount val="4"/>
                <c:pt idx="0">
                  <c:v>131.7653151213236</c:v>
                </c:pt>
                <c:pt idx="1">
                  <c:v>131.7600715873962</c:v>
                </c:pt>
                <c:pt idx="2">
                  <c:v>131.74483315965369</c:v>
                </c:pt>
                <c:pt idx="3">
                  <c:v>131.7882298010818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8-4F6A-B283-536958862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MPa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Factor of safety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Validation!$M$4</c:f>
              <c:strCache>
                <c:ptCount val="1"/>
                <c:pt idx="0">
                  <c:v>Factor of safety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Validation!$A$5:$A$8</c:f>
              <c:strCache>
                <c:ptCount val="4"/>
                <c:pt idx="0">
                  <c:v>Structural Steel</c:v>
                </c:pt>
                <c:pt idx="1">
                  <c:v>Aluminum Alloy</c:v>
                </c:pt>
                <c:pt idx="2">
                  <c:v>Polyethylene</c:v>
                </c:pt>
                <c:pt idx="3">
                  <c:v>Concrete</c:v>
                </c:pt>
              </c:strCache>
            </c:strRef>
          </c:cat>
          <c:val>
            <c:numRef>
              <c:f>Validation!$M$5:$M$8</c:f>
              <c:numCache>
                <c:formatCode>0.00</c:formatCode>
                <c:ptCount val="4"/>
                <c:pt idx="0">
                  <c:v>1.897312655988499</c:v>
                </c:pt>
                <c:pt idx="1">
                  <c:v>2.1250747409792998</c:v>
                </c:pt>
                <c:pt idx="2">
                  <c:v>0.18976076253179502</c:v>
                </c:pt>
                <c:pt idx="3">
                  <c:v>3.7939655214634022E-2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E-4BB6-B2CF-CB6E74AD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Strength / peak stress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Von Mises stress along the specimen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Path_Distribution!$B$4</c:f>
              <c:strCache>
                <c:ptCount val="1"/>
                <c:pt idx="0">
                  <c:v>Steel stress (MPa)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Path_Distribution!$A$5:$A$156</c:f>
              <c:numCache>
                <c:formatCode>General</c:formatCode>
                <c:ptCount val="152"/>
                <c:pt idx="0">
                  <c:v>-82.5</c:v>
                </c:pt>
                <c:pt idx="1">
                  <c:v>-81.407300000000006</c:v>
                </c:pt>
                <c:pt idx="2">
                  <c:v>-80.314599999999999</c:v>
                </c:pt>
                <c:pt idx="3">
                  <c:v>-79.221900000000005</c:v>
                </c:pt>
                <c:pt idx="4">
                  <c:v>-78.129099999999994</c:v>
                </c:pt>
                <c:pt idx="5">
                  <c:v>-77.0364</c:v>
                </c:pt>
                <c:pt idx="6">
                  <c:v>-75.943700000000007</c:v>
                </c:pt>
                <c:pt idx="7">
                  <c:v>-74.850999999999999</c:v>
                </c:pt>
                <c:pt idx="8">
                  <c:v>-73.758300000000006</c:v>
                </c:pt>
                <c:pt idx="9">
                  <c:v>-72.665599999999998</c:v>
                </c:pt>
                <c:pt idx="10">
                  <c:v>-71.572999999999993</c:v>
                </c:pt>
                <c:pt idx="11">
                  <c:v>-70.48</c:v>
                </c:pt>
                <c:pt idx="12">
                  <c:v>-69.387</c:v>
                </c:pt>
                <c:pt idx="13">
                  <c:v>-68.295000000000002</c:v>
                </c:pt>
                <c:pt idx="14">
                  <c:v>-67.201999999999998</c:v>
                </c:pt>
                <c:pt idx="15">
                  <c:v>-66.108999999999995</c:v>
                </c:pt>
                <c:pt idx="16">
                  <c:v>-65.016999999999996</c:v>
                </c:pt>
                <c:pt idx="17">
                  <c:v>-63.923999999999999</c:v>
                </c:pt>
                <c:pt idx="18">
                  <c:v>-62.831000000000003</c:v>
                </c:pt>
                <c:pt idx="19">
                  <c:v>-61.738</c:v>
                </c:pt>
                <c:pt idx="20">
                  <c:v>-60.646000000000001</c:v>
                </c:pt>
                <c:pt idx="21">
                  <c:v>-59.552999999999997</c:v>
                </c:pt>
                <c:pt idx="22">
                  <c:v>-58.46</c:v>
                </c:pt>
                <c:pt idx="23">
                  <c:v>-57.368000000000002</c:v>
                </c:pt>
                <c:pt idx="24">
                  <c:v>-56.274999999999999</c:v>
                </c:pt>
                <c:pt idx="25">
                  <c:v>-55.182000000000002</c:v>
                </c:pt>
                <c:pt idx="26">
                  <c:v>-54.088999999999999</c:v>
                </c:pt>
                <c:pt idx="27">
                  <c:v>-52.997</c:v>
                </c:pt>
                <c:pt idx="28">
                  <c:v>-51.904000000000003</c:v>
                </c:pt>
                <c:pt idx="29">
                  <c:v>-50.811</c:v>
                </c:pt>
                <c:pt idx="30">
                  <c:v>-49.719000000000001</c:v>
                </c:pt>
                <c:pt idx="31">
                  <c:v>-48.625999999999998</c:v>
                </c:pt>
                <c:pt idx="32">
                  <c:v>-47.533000000000001</c:v>
                </c:pt>
                <c:pt idx="33">
                  <c:v>-46.44</c:v>
                </c:pt>
                <c:pt idx="34">
                  <c:v>-45.347999999999999</c:v>
                </c:pt>
                <c:pt idx="35">
                  <c:v>-44.255000000000003</c:v>
                </c:pt>
                <c:pt idx="36">
                  <c:v>-43.161999999999999</c:v>
                </c:pt>
                <c:pt idx="37">
                  <c:v>-42.07</c:v>
                </c:pt>
                <c:pt idx="38">
                  <c:v>-40.976999999999997</c:v>
                </c:pt>
                <c:pt idx="39">
                  <c:v>-39.884</c:v>
                </c:pt>
                <c:pt idx="40">
                  <c:v>-38.790999999999997</c:v>
                </c:pt>
                <c:pt idx="41">
                  <c:v>-37.698999999999998</c:v>
                </c:pt>
                <c:pt idx="42">
                  <c:v>-36.606000000000002</c:v>
                </c:pt>
                <c:pt idx="43">
                  <c:v>-35.512999999999998</c:v>
                </c:pt>
                <c:pt idx="44">
                  <c:v>-34.420999999999999</c:v>
                </c:pt>
                <c:pt idx="45">
                  <c:v>-33.328000000000003</c:v>
                </c:pt>
                <c:pt idx="46">
                  <c:v>-32.234999999999999</c:v>
                </c:pt>
                <c:pt idx="47">
                  <c:v>-31.141999999999999</c:v>
                </c:pt>
                <c:pt idx="48">
                  <c:v>-30.05</c:v>
                </c:pt>
                <c:pt idx="49">
                  <c:v>-28.957000000000001</c:v>
                </c:pt>
                <c:pt idx="50">
                  <c:v>-27.864000000000001</c:v>
                </c:pt>
                <c:pt idx="51">
                  <c:v>-26.771999999999998</c:v>
                </c:pt>
                <c:pt idx="52">
                  <c:v>-25.678999999999998</c:v>
                </c:pt>
                <c:pt idx="53">
                  <c:v>-24.585999999999999</c:v>
                </c:pt>
                <c:pt idx="54">
                  <c:v>-23.492999999999999</c:v>
                </c:pt>
                <c:pt idx="55">
                  <c:v>-22.401</c:v>
                </c:pt>
                <c:pt idx="56">
                  <c:v>-21.308</c:v>
                </c:pt>
                <c:pt idx="57">
                  <c:v>-20.215</c:v>
                </c:pt>
                <c:pt idx="58">
                  <c:v>-19.123000000000001</c:v>
                </c:pt>
                <c:pt idx="59">
                  <c:v>-18.03</c:v>
                </c:pt>
                <c:pt idx="60">
                  <c:v>-16.937000000000001</c:v>
                </c:pt>
                <c:pt idx="61">
                  <c:v>-15.843999999999999</c:v>
                </c:pt>
                <c:pt idx="62">
                  <c:v>-14.752000000000001</c:v>
                </c:pt>
                <c:pt idx="63">
                  <c:v>-13.659000000000001</c:v>
                </c:pt>
                <c:pt idx="64">
                  <c:v>-12.566000000000001</c:v>
                </c:pt>
                <c:pt idx="65">
                  <c:v>-11.474</c:v>
                </c:pt>
                <c:pt idx="66">
                  <c:v>-10.381</c:v>
                </c:pt>
                <c:pt idx="67">
                  <c:v>-9.2880000000000003</c:v>
                </c:pt>
                <c:pt idx="68">
                  <c:v>-8.1950000000000003</c:v>
                </c:pt>
                <c:pt idx="69">
                  <c:v>-7.1029999999999998</c:v>
                </c:pt>
                <c:pt idx="70">
                  <c:v>-6.01</c:v>
                </c:pt>
                <c:pt idx="71">
                  <c:v>-4.9169999999999998</c:v>
                </c:pt>
                <c:pt idx="72">
                  <c:v>-3.8250000000000002</c:v>
                </c:pt>
                <c:pt idx="73">
                  <c:v>-2.7320000000000002</c:v>
                </c:pt>
                <c:pt idx="74">
                  <c:v>-1.639</c:v>
                </c:pt>
                <c:pt idx="75">
                  <c:v>-0.54600000000000004</c:v>
                </c:pt>
                <c:pt idx="76">
                  <c:v>0.54600000000000004</c:v>
                </c:pt>
                <c:pt idx="77">
                  <c:v>1.639</c:v>
                </c:pt>
                <c:pt idx="78">
                  <c:v>2.7320000000000002</c:v>
                </c:pt>
                <c:pt idx="79">
                  <c:v>3.8250000000000002</c:v>
                </c:pt>
                <c:pt idx="80">
                  <c:v>4.9169999999999998</c:v>
                </c:pt>
                <c:pt idx="81">
                  <c:v>6.01</c:v>
                </c:pt>
                <c:pt idx="82">
                  <c:v>7.1029999999999998</c:v>
                </c:pt>
                <c:pt idx="83">
                  <c:v>8.1950000000000003</c:v>
                </c:pt>
                <c:pt idx="84">
                  <c:v>9.2880000000000003</c:v>
                </c:pt>
                <c:pt idx="85">
                  <c:v>10.381</c:v>
                </c:pt>
                <c:pt idx="86">
                  <c:v>11.474</c:v>
                </c:pt>
                <c:pt idx="87">
                  <c:v>12.566000000000001</c:v>
                </c:pt>
                <c:pt idx="88">
                  <c:v>13.659000000000001</c:v>
                </c:pt>
                <c:pt idx="89">
                  <c:v>14.752000000000001</c:v>
                </c:pt>
                <c:pt idx="90">
                  <c:v>15.843999999999999</c:v>
                </c:pt>
                <c:pt idx="91">
                  <c:v>16.937000000000001</c:v>
                </c:pt>
                <c:pt idx="92">
                  <c:v>18.03</c:v>
                </c:pt>
                <c:pt idx="93">
                  <c:v>19.12</c:v>
                </c:pt>
                <c:pt idx="94">
                  <c:v>20.22</c:v>
                </c:pt>
                <c:pt idx="95">
                  <c:v>21.31</c:v>
                </c:pt>
                <c:pt idx="96">
                  <c:v>22.4</c:v>
                </c:pt>
                <c:pt idx="97">
                  <c:v>23.49</c:v>
                </c:pt>
                <c:pt idx="98">
                  <c:v>24.59</c:v>
                </c:pt>
                <c:pt idx="99">
                  <c:v>25.68</c:v>
                </c:pt>
                <c:pt idx="100">
                  <c:v>26.77</c:v>
                </c:pt>
                <c:pt idx="101">
                  <c:v>27.86</c:v>
                </c:pt>
                <c:pt idx="102">
                  <c:v>28.96</c:v>
                </c:pt>
                <c:pt idx="103">
                  <c:v>30.05</c:v>
                </c:pt>
                <c:pt idx="104">
                  <c:v>31.14</c:v>
                </c:pt>
                <c:pt idx="105">
                  <c:v>32.24</c:v>
                </c:pt>
                <c:pt idx="106">
                  <c:v>33.33</c:v>
                </c:pt>
                <c:pt idx="107">
                  <c:v>34.42</c:v>
                </c:pt>
                <c:pt idx="108">
                  <c:v>35.51</c:v>
                </c:pt>
                <c:pt idx="109">
                  <c:v>36.61</c:v>
                </c:pt>
                <c:pt idx="110">
                  <c:v>37.700000000000003</c:v>
                </c:pt>
                <c:pt idx="111">
                  <c:v>38.79</c:v>
                </c:pt>
                <c:pt idx="112">
                  <c:v>39.880000000000003</c:v>
                </c:pt>
                <c:pt idx="113">
                  <c:v>40.98</c:v>
                </c:pt>
                <c:pt idx="114">
                  <c:v>42.07</c:v>
                </c:pt>
                <c:pt idx="115">
                  <c:v>43.16</c:v>
                </c:pt>
                <c:pt idx="116">
                  <c:v>44.25</c:v>
                </c:pt>
                <c:pt idx="117">
                  <c:v>45.35</c:v>
                </c:pt>
                <c:pt idx="118">
                  <c:v>46.44</c:v>
                </c:pt>
                <c:pt idx="119">
                  <c:v>47.53</c:v>
                </c:pt>
                <c:pt idx="120">
                  <c:v>48.63</c:v>
                </c:pt>
                <c:pt idx="121">
                  <c:v>49.72</c:v>
                </c:pt>
                <c:pt idx="122">
                  <c:v>50.81</c:v>
                </c:pt>
                <c:pt idx="123">
                  <c:v>51.9</c:v>
                </c:pt>
                <c:pt idx="124">
                  <c:v>53</c:v>
                </c:pt>
                <c:pt idx="125">
                  <c:v>54.09</c:v>
                </c:pt>
                <c:pt idx="126">
                  <c:v>55.18</c:v>
                </c:pt>
                <c:pt idx="127">
                  <c:v>56.27</c:v>
                </c:pt>
                <c:pt idx="128">
                  <c:v>57.37</c:v>
                </c:pt>
                <c:pt idx="129">
                  <c:v>58.46</c:v>
                </c:pt>
                <c:pt idx="130">
                  <c:v>59.55</c:v>
                </c:pt>
                <c:pt idx="131">
                  <c:v>60.65</c:v>
                </c:pt>
                <c:pt idx="132">
                  <c:v>61.74</c:v>
                </c:pt>
                <c:pt idx="133">
                  <c:v>62.83</c:v>
                </c:pt>
                <c:pt idx="134">
                  <c:v>63.92</c:v>
                </c:pt>
                <c:pt idx="135">
                  <c:v>65.02</c:v>
                </c:pt>
                <c:pt idx="136">
                  <c:v>66.11</c:v>
                </c:pt>
                <c:pt idx="137">
                  <c:v>67.2</c:v>
                </c:pt>
                <c:pt idx="138">
                  <c:v>68.290000000000006</c:v>
                </c:pt>
                <c:pt idx="139">
                  <c:v>69.39</c:v>
                </c:pt>
                <c:pt idx="140">
                  <c:v>70.48</c:v>
                </c:pt>
                <c:pt idx="141">
                  <c:v>71.569999999999993</c:v>
                </c:pt>
                <c:pt idx="142">
                  <c:v>72.67</c:v>
                </c:pt>
                <c:pt idx="143">
                  <c:v>73.760000000000005</c:v>
                </c:pt>
                <c:pt idx="144">
                  <c:v>74.849999999999994</c:v>
                </c:pt>
                <c:pt idx="145">
                  <c:v>75.94</c:v>
                </c:pt>
                <c:pt idx="146">
                  <c:v>77.040000000000006</c:v>
                </c:pt>
                <c:pt idx="147">
                  <c:v>78.13</c:v>
                </c:pt>
                <c:pt idx="148">
                  <c:v>79.22</c:v>
                </c:pt>
                <c:pt idx="149">
                  <c:v>80.31</c:v>
                </c:pt>
                <c:pt idx="150">
                  <c:v>81.41</c:v>
                </c:pt>
                <c:pt idx="151">
                  <c:v>82.5</c:v>
                </c:pt>
              </c:numCache>
            </c:numRef>
          </c:xVal>
          <c:yVal>
            <c:numRef>
              <c:f>Path_Distribution!$B$5:$B$156</c:f>
              <c:numCache>
                <c:formatCode>0.0000</c:formatCode>
                <c:ptCount val="152"/>
                <c:pt idx="0">
                  <c:v>87.691999999999993</c:v>
                </c:pt>
                <c:pt idx="1">
                  <c:v>87.694000000000003</c:v>
                </c:pt>
                <c:pt idx="2">
                  <c:v>87.697000000000003</c:v>
                </c:pt>
                <c:pt idx="3">
                  <c:v>87.698999999999998</c:v>
                </c:pt>
                <c:pt idx="4">
                  <c:v>87.701999999999998</c:v>
                </c:pt>
                <c:pt idx="5">
                  <c:v>87.703999999999994</c:v>
                </c:pt>
                <c:pt idx="6">
                  <c:v>87.706999999999994</c:v>
                </c:pt>
                <c:pt idx="7">
                  <c:v>87.71</c:v>
                </c:pt>
                <c:pt idx="8">
                  <c:v>87.691000000000003</c:v>
                </c:pt>
                <c:pt idx="9">
                  <c:v>87.65</c:v>
                </c:pt>
                <c:pt idx="10">
                  <c:v>87.608999999999995</c:v>
                </c:pt>
                <c:pt idx="11">
                  <c:v>87.567999999999998</c:v>
                </c:pt>
                <c:pt idx="12">
                  <c:v>87.527000000000001</c:v>
                </c:pt>
                <c:pt idx="13">
                  <c:v>87.486000000000004</c:v>
                </c:pt>
                <c:pt idx="14">
                  <c:v>87.444999999999993</c:v>
                </c:pt>
                <c:pt idx="15">
                  <c:v>87.394000000000005</c:v>
                </c:pt>
                <c:pt idx="16">
                  <c:v>87.622</c:v>
                </c:pt>
                <c:pt idx="17">
                  <c:v>87.85</c:v>
                </c:pt>
                <c:pt idx="18">
                  <c:v>88.08</c:v>
                </c:pt>
                <c:pt idx="19">
                  <c:v>88.31</c:v>
                </c:pt>
                <c:pt idx="20">
                  <c:v>88.542000000000002</c:v>
                </c:pt>
                <c:pt idx="21">
                  <c:v>88.774000000000001</c:v>
                </c:pt>
                <c:pt idx="22">
                  <c:v>89.007999999999996</c:v>
                </c:pt>
                <c:pt idx="23">
                  <c:v>89.823999999999998</c:v>
                </c:pt>
                <c:pt idx="24">
                  <c:v>91.36</c:v>
                </c:pt>
                <c:pt idx="25">
                  <c:v>92.897999999999996</c:v>
                </c:pt>
                <c:pt idx="26">
                  <c:v>94.436999999999998</c:v>
                </c:pt>
                <c:pt idx="27">
                  <c:v>95.978999999999999</c:v>
                </c:pt>
                <c:pt idx="28">
                  <c:v>97.522000000000006</c:v>
                </c:pt>
                <c:pt idx="29">
                  <c:v>99.066000000000003</c:v>
                </c:pt>
                <c:pt idx="30">
                  <c:v>100.61</c:v>
                </c:pt>
                <c:pt idx="31">
                  <c:v>101.29</c:v>
                </c:pt>
                <c:pt idx="32">
                  <c:v>101.93</c:v>
                </c:pt>
                <c:pt idx="33">
                  <c:v>102.57</c:v>
                </c:pt>
                <c:pt idx="34">
                  <c:v>103.23</c:v>
                </c:pt>
                <c:pt idx="35">
                  <c:v>103.9</c:v>
                </c:pt>
                <c:pt idx="36">
                  <c:v>104.58</c:v>
                </c:pt>
                <c:pt idx="37">
                  <c:v>105.92</c:v>
                </c:pt>
                <c:pt idx="38">
                  <c:v>107.74</c:v>
                </c:pt>
                <c:pt idx="39">
                  <c:v>109.55</c:v>
                </c:pt>
                <c:pt idx="40">
                  <c:v>111.37</c:v>
                </c:pt>
                <c:pt idx="41">
                  <c:v>113.2</c:v>
                </c:pt>
                <c:pt idx="42">
                  <c:v>115.02</c:v>
                </c:pt>
                <c:pt idx="43">
                  <c:v>116.8</c:v>
                </c:pt>
                <c:pt idx="44">
                  <c:v>118.22</c:v>
                </c:pt>
                <c:pt idx="45">
                  <c:v>119.64</c:v>
                </c:pt>
                <c:pt idx="46">
                  <c:v>121.06</c:v>
                </c:pt>
                <c:pt idx="47">
                  <c:v>122.48</c:v>
                </c:pt>
                <c:pt idx="48">
                  <c:v>123.9</c:v>
                </c:pt>
                <c:pt idx="49">
                  <c:v>125.33</c:v>
                </c:pt>
                <c:pt idx="50">
                  <c:v>126.13</c:v>
                </c:pt>
                <c:pt idx="51">
                  <c:v>126.49</c:v>
                </c:pt>
                <c:pt idx="52">
                  <c:v>126.85</c:v>
                </c:pt>
                <c:pt idx="53">
                  <c:v>127.22</c:v>
                </c:pt>
                <c:pt idx="54">
                  <c:v>127.58</c:v>
                </c:pt>
                <c:pt idx="55">
                  <c:v>127.94</c:v>
                </c:pt>
                <c:pt idx="56">
                  <c:v>128.30000000000001</c:v>
                </c:pt>
                <c:pt idx="57">
                  <c:v>128.61000000000001</c:v>
                </c:pt>
                <c:pt idx="58">
                  <c:v>128.56</c:v>
                </c:pt>
                <c:pt idx="59">
                  <c:v>128.5</c:v>
                </c:pt>
                <c:pt idx="60">
                  <c:v>128.44</c:v>
                </c:pt>
                <c:pt idx="61">
                  <c:v>128.38</c:v>
                </c:pt>
                <c:pt idx="62">
                  <c:v>128.33000000000001</c:v>
                </c:pt>
                <c:pt idx="63">
                  <c:v>128.27000000000001</c:v>
                </c:pt>
                <c:pt idx="64">
                  <c:v>128.21</c:v>
                </c:pt>
                <c:pt idx="65">
                  <c:v>128.19</c:v>
                </c:pt>
                <c:pt idx="66">
                  <c:v>128.19999999999999</c:v>
                </c:pt>
                <c:pt idx="67">
                  <c:v>128.19999999999999</c:v>
                </c:pt>
                <c:pt idx="68">
                  <c:v>128.19999999999999</c:v>
                </c:pt>
                <c:pt idx="69">
                  <c:v>128.19999999999999</c:v>
                </c:pt>
                <c:pt idx="70">
                  <c:v>128.21</c:v>
                </c:pt>
                <c:pt idx="71">
                  <c:v>128.21</c:v>
                </c:pt>
                <c:pt idx="72">
                  <c:v>128.21</c:v>
                </c:pt>
                <c:pt idx="73">
                  <c:v>128.21</c:v>
                </c:pt>
                <c:pt idx="74">
                  <c:v>128.21</c:v>
                </c:pt>
                <c:pt idx="75">
                  <c:v>128.21</c:v>
                </c:pt>
                <c:pt idx="76">
                  <c:v>128.21</c:v>
                </c:pt>
                <c:pt idx="77">
                  <c:v>128.21</c:v>
                </c:pt>
                <c:pt idx="78">
                  <c:v>128.21</c:v>
                </c:pt>
                <c:pt idx="79">
                  <c:v>128.21</c:v>
                </c:pt>
                <c:pt idx="80">
                  <c:v>128.21</c:v>
                </c:pt>
                <c:pt idx="81">
                  <c:v>128.21</c:v>
                </c:pt>
                <c:pt idx="82">
                  <c:v>128.19999999999999</c:v>
                </c:pt>
                <c:pt idx="83">
                  <c:v>128.19999999999999</c:v>
                </c:pt>
                <c:pt idx="84">
                  <c:v>128.19999999999999</c:v>
                </c:pt>
                <c:pt idx="85">
                  <c:v>128.19999999999999</c:v>
                </c:pt>
                <c:pt idx="86">
                  <c:v>128.19999999999999</c:v>
                </c:pt>
                <c:pt idx="87">
                  <c:v>128.21</c:v>
                </c:pt>
                <c:pt idx="88">
                  <c:v>128.27000000000001</c:v>
                </c:pt>
                <c:pt idx="89">
                  <c:v>128.33000000000001</c:v>
                </c:pt>
                <c:pt idx="90">
                  <c:v>128.38999999999999</c:v>
                </c:pt>
                <c:pt idx="91">
                  <c:v>128.44</c:v>
                </c:pt>
                <c:pt idx="92">
                  <c:v>128.5</c:v>
                </c:pt>
                <c:pt idx="93">
                  <c:v>128.56</c:v>
                </c:pt>
                <c:pt idx="94">
                  <c:v>128.62</c:v>
                </c:pt>
                <c:pt idx="95">
                  <c:v>128.31</c:v>
                </c:pt>
                <c:pt idx="96">
                  <c:v>127.95</c:v>
                </c:pt>
                <c:pt idx="97">
                  <c:v>127.58</c:v>
                </c:pt>
                <c:pt idx="98">
                  <c:v>127.22</c:v>
                </c:pt>
                <c:pt idx="99">
                  <c:v>126.86</c:v>
                </c:pt>
                <c:pt idx="100">
                  <c:v>126.5</c:v>
                </c:pt>
                <c:pt idx="101">
                  <c:v>126.15</c:v>
                </c:pt>
                <c:pt idx="102">
                  <c:v>125.34</c:v>
                </c:pt>
                <c:pt idx="103">
                  <c:v>123.92</c:v>
                </c:pt>
                <c:pt idx="104">
                  <c:v>122.5</c:v>
                </c:pt>
                <c:pt idx="105">
                  <c:v>121.08</c:v>
                </c:pt>
                <c:pt idx="106">
                  <c:v>119.66</c:v>
                </c:pt>
                <c:pt idx="107">
                  <c:v>118.24</c:v>
                </c:pt>
                <c:pt idx="108">
                  <c:v>116.83</c:v>
                </c:pt>
                <c:pt idx="109">
                  <c:v>115.05</c:v>
                </c:pt>
                <c:pt idx="110">
                  <c:v>113.23</c:v>
                </c:pt>
                <c:pt idx="111">
                  <c:v>111.41</c:v>
                </c:pt>
                <c:pt idx="112">
                  <c:v>109.59</c:v>
                </c:pt>
                <c:pt idx="113">
                  <c:v>107.78</c:v>
                </c:pt>
                <c:pt idx="114">
                  <c:v>105.96</c:v>
                </c:pt>
                <c:pt idx="115">
                  <c:v>104.63</c:v>
                </c:pt>
                <c:pt idx="116">
                  <c:v>103.95</c:v>
                </c:pt>
                <c:pt idx="117">
                  <c:v>103.29</c:v>
                </c:pt>
                <c:pt idx="118">
                  <c:v>102.64</c:v>
                </c:pt>
                <c:pt idx="119">
                  <c:v>102</c:v>
                </c:pt>
                <c:pt idx="120">
                  <c:v>101.38</c:v>
                </c:pt>
                <c:pt idx="121">
                  <c:v>100.71</c:v>
                </c:pt>
                <c:pt idx="122">
                  <c:v>99.174000000000007</c:v>
                </c:pt>
                <c:pt idx="123">
                  <c:v>97.643000000000001</c:v>
                </c:pt>
                <c:pt idx="124">
                  <c:v>96.114000000000004</c:v>
                </c:pt>
                <c:pt idx="125">
                  <c:v>94.585999999999999</c:v>
                </c:pt>
                <c:pt idx="126">
                  <c:v>93.06</c:v>
                </c:pt>
                <c:pt idx="127">
                  <c:v>91.536000000000001</c:v>
                </c:pt>
                <c:pt idx="128">
                  <c:v>90.015000000000001</c:v>
                </c:pt>
                <c:pt idx="129">
                  <c:v>89.308999999999997</c:v>
                </c:pt>
                <c:pt idx="130">
                  <c:v>89.262</c:v>
                </c:pt>
                <c:pt idx="131">
                  <c:v>89.216999999999999</c:v>
                </c:pt>
                <c:pt idx="132">
                  <c:v>89.171999999999997</c:v>
                </c:pt>
                <c:pt idx="133">
                  <c:v>89.126999999999995</c:v>
                </c:pt>
                <c:pt idx="134">
                  <c:v>89.082999999999998</c:v>
                </c:pt>
                <c:pt idx="135">
                  <c:v>89.04</c:v>
                </c:pt>
                <c:pt idx="136">
                  <c:v>89.009</c:v>
                </c:pt>
                <c:pt idx="137">
                  <c:v>89.311000000000007</c:v>
                </c:pt>
                <c:pt idx="138">
                  <c:v>89.614000000000004</c:v>
                </c:pt>
                <c:pt idx="139">
                  <c:v>89.918999999999997</c:v>
                </c:pt>
                <c:pt idx="140">
                  <c:v>90.224999999999994</c:v>
                </c:pt>
                <c:pt idx="141">
                  <c:v>90.531999999999996</c:v>
                </c:pt>
                <c:pt idx="142">
                  <c:v>90.840999999999994</c:v>
                </c:pt>
                <c:pt idx="143">
                  <c:v>91.152000000000001</c:v>
                </c:pt>
                <c:pt idx="144">
                  <c:v>89.44</c:v>
                </c:pt>
                <c:pt idx="145">
                  <c:v>85.858000000000004</c:v>
                </c:pt>
                <c:pt idx="146">
                  <c:v>82.301000000000002</c:v>
                </c:pt>
                <c:pt idx="147">
                  <c:v>78.77</c:v>
                </c:pt>
                <c:pt idx="148">
                  <c:v>75.272000000000006</c:v>
                </c:pt>
                <c:pt idx="149">
                  <c:v>71.808000000000007</c:v>
                </c:pt>
                <c:pt idx="150">
                  <c:v>68.387</c:v>
                </c:pt>
                <c:pt idx="151">
                  <c:v>65.012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E-4074-9DCE-8DAEFACB3D95}"/>
            </c:ext>
          </c:extLst>
        </c:ser>
        <c:ser>
          <c:idx val="1"/>
          <c:order val="1"/>
          <c:tx>
            <c:strRef>
              <c:f>Path_Distribution!$E$4</c:f>
              <c:strCache>
                <c:ptCount val="1"/>
                <c:pt idx="0">
                  <c:v>Aluminium stress (MPa)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Path_Distribution!$A$5:$A$156</c:f>
              <c:numCache>
                <c:formatCode>General</c:formatCode>
                <c:ptCount val="152"/>
                <c:pt idx="0">
                  <c:v>-82.5</c:v>
                </c:pt>
                <c:pt idx="1">
                  <c:v>-81.407300000000006</c:v>
                </c:pt>
                <c:pt idx="2">
                  <c:v>-80.314599999999999</c:v>
                </c:pt>
                <c:pt idx="3">
                  <c:v>-79.221900000000005</c:v>
                </c:pt>
                <c:pt idx="4">
                  <c:v>-78.129099999999994</c:v>
                </c:pt>
                <c:pt idx="5">
                  <c:v>-77.0364</c:v>
                </c:pt>
                <c:pt idx="6">
                  <c:v>-75.943700000000007</c:v>
                </c:pt>
                <c:pt idx="7">
                  <c:v>-74.850999999999999</c:v>
                </c:pt>
                <c:pt idx="8">
                  <c:v>-73.758300000000006</c:v>
                </c:pt>
                <c:pt idx="9">
                  <c:v>-72.665599999999998</c:v>
                </c:pt>
                <c:pt idx="10">
                  <c:v>-71.572999999999993</c:v>
                </c:pt>
                <c:pt idx="11">
                  <c:v>-70.48</c:v>
                </c:pt>
                <c:pt idx="12">
                  <c:v>-69.387</c:v>
                </c:pt>
                <c:pt idx="13">
                  <c:v>-68.295000000000002</c:v>
                </c:pt>
                <c:pt idx="14">
                  <c:v>-67.201999999999998</c:v>
                </c:pt>
                <c:pt idx="15">
                  <c:v>-66.108999999999995</c:v>
                </c:pt>
                <c:pt idx="16">
                  <c:v>-65.016999999999996</c:v>
                </c:pt>
                <c:pt idx="17">
                  <c:v>-63.923999999999999</c:v>
                </c:pt>
                <c:pt idx="18">
                  <c:v>-62.831000000000003</c:v>
                </c:pt>
                <c:pt idx="19">
                  <c:v>-61.738</c:v>
                </c:pt>
                <c:pt idx="20">
                  <c:v>-60.646000000000001</c:v>
                </c:pt>
                <c:pt idx="21">
                  <c:v>-59.552999999999997</c:v>
                </c:pt>
                <c:pt idx="22">
                  <c:v>-58.46</c:v>
                </c:pt>
                <c:pt idx="23">
                  <c:v>-57.368000000000002</c:v>
                </c:pt>
                <c:pt idx="24">
                  <c:v>-56.274999999999999</c:v>
                </c:pt>
                <c:pt idx="25">
                  <c:v>-55.182000000000002</c:v>
                </c:pt>
                <c:pt idx="26">
                  <c:v>-54.088999999999999</c:v>
                </c:pt>
                <c:pt idx="27">
                  <c:v>-52.997</c:v>
                </c:pt>
                <c:pt idx="28">
                  <c:v>-51.904000000000003</c:v>
                </c:pt>
                <c:pt idx="29">
                  <c:v>-50.811</c:v>
                </c:pt>
                <c:pt idx="30">
                  <c:v>-49.719000000000001</c:v>
                </c:pt>
                <c:pt idx="31">
                  <c:v>-48.625999999999998</c:v>
                </c:pt>
                <c:pt idx="32">
                  <c:v>-47.533000000000001</c:v>
                </c:pt>
                <c:pt idx="33">
                  <c:v>-46.44</c:v>
                </c:pt>
                <c:pt idx="34">
                  <c:v>-45.347999999999999</c:v>
                </c:pt>
                <c:pt idx="35">
                  <c:v>-44.255000000000003</c:v>
                </c:pt>
                <c:pt idx="36">
                  <c:v>-43.161999999999999</c:v>
                </c:pt>
                <c:pt idx="37">
                  <c:v>-42.07</c:v>
                </c:pt>
                <c:pt idx="38">
                  <c:v>-40.976999999999997</c:v>
                </c:pt>
                <c:pt idx="39">
                  <c:v>-39.884</c:v>
                </c:pt>
                <c:pt idx="40">
                  <c:v>-38.790999999999997</c:v>
                </c:pt>
                <c:pt idx="41">
                  <c:v>-37.698999999999998</c:v>
                </c:pt>
                <c:pt idx="42">
                  <c:v>-36.606000000000002</c:v>
                </c:pt>
                <c:pt idx="43">
                  <c:v>-35.512999999999998</c:v>
                </c:pt>
                <c:pt idx="44">
                  <c:v>-34.420999999999999</c:v>
                </c:pt>
                <c:pt idx="45">
                  <c:v>-33.328000000000003</c:v>
                </c:pt>
                <c:pt idx="46">
                  <c:v>-32.234999999999999</c:v>
                </c:pt>
                <c:pt idx="47">
                  <c:v>-31.141999999999999</c:v>
                </c:pt>
                <c:pt idx="48">
                  <c:v>-30.05</c:v>
                </c:pt>
                <c:pt idx="49">
                  <c:v>-28.957000000000001</c:v>
                </c:pt>
                <c:pt idx="50">
                  <c:v>-27.864000000000001</c:v>
                </c:pt>
                <c:pt idx="51">
                  <c:v>-26.771999999999998</c:v>
                </c:pt>
                <c:pt idx="52">
                  <c:v>-25.678999999999998</c:v>
                </c:pt>
                <c:pt idx="53">
                  <c:v>-24.585999999999999</c:v>
                </c:pt>
                <c:pt idx="54">
                  <c:v>-23.492999999999999</c:v>
                </c:pt>
                <c:pt idx="55">
                  <c:v>-22.401</c:v>
                </c:pt>
                <c:pt idx="56">
                  <c:v>-21.308</c:v>
                </c:pt>
                <c:pt idx="57">
                  <c:v>-20.215</c:v>
                </c:pt>
                <c:pt idx="58">
                  <c:v>-19.123000000000001</c:v>
                </c:pt>
                <c:pt idx="59">
                  <c:v>-18.03</c:v>
                </c:pt>
                <c:pt idx="60">
                  <c:v>-16.937000000000001</c:v>
                </c:pt>
                <c:pt idx="61">
                  <c:v>-15.843999999999999</c:v>
                </c:pt>
                <c:pt idx="62">
                  <c:v>-14.752000000000001</c:v>
                </c:pt>
                <c:pt idx="63">
                  <c:v>-13.659000000000001</c:v>
                </c:pt>
                <c:pt idx="64">
                  <c:v>-12.566000000000001</c:v>
                </c:pt>
                <c:pt idx="65">
                  <c:v>-11.474</c:v>
                </c:pt>
                <c:pt idx="66">
                  <c:v>-10.381</c:v>
                </c:pt>
                <c:pt idx="67">
                  <c:v>-9.2880000000000003</c:v>
                </c:pt>
                <c:pt idx="68">
                  <c:v>-8.1950000000000003</c:v>
                </c:pt>
                <c:pt idx="69">
                  <c:v>-7.1029999999999998</c:v>
                </c:pt>
                <c:pt idx="70">
                  <c:v>-6.01</c:v>
                </c:pt>
                <c:pt idx="71">
                  <c:v>-4.9169999999999998</c:v>
                </c:pt>
                <c:pt idx="72">
                  <c:v>-3.8250000000000002</c:v>
                </c:pt>
                <c:pt idx="73">
                  <c:v>-2.7320000000000002</c:v>
                </c:pt>
                <c:pt idx="74">
                  <c:v>-1.639</c:v>
                </c:pt>
                <c:pt idx="75">
                  <c:v>-0.54600000000000004</c:v>
                </c:pt>
                <c:pt idx="76">
                  <c:v>0.54600000000000004</c:v>
                </c:pt>
                <c:pt idx="77">
                  <c:v>1.639</c:v>
                </c:pt>
                <c:pt idx="78">
                  <c:v>2.7320000000000002</c:v>
                </c:pt>
                <c:pt idx="79">
                  <c:v>3.8250000000000002</c:v>
                </c:pt>
                <c:pt idx="80">
                  <c:v>4.9169999999999998</c:v>
                </c:pt>
                <c:pt idx="81">
                  <c:v>6.01</c:v>
                </c:pt>
                <c:pt idx="82">
                  <c:v>7.1029999999999998</c:v>
                </c:pt>
                <c:pt idx="83">
                  <c:v>8.1950000000000003</c:v>
                </c:pt>
                <c:pt idx="84">
                  <c:v>9.2880000000000003</c:v>
                </c:pt>
                <c:pt idx="85">
                  <c:v>10.381</c:v>
                </c:pt>
                <c:pt idx="86">
                  <c:v>11.474</c:v>
                </c:pt>
                <c:pt idx="87">
                  <c:v>12.566000000000001</c:v>
                </c:pt>
                <c:pt idx="88">
                  <c:v>13.659000000000001</c:v>
                </c:pt>
                <c:pt idx="89">
                  <c:v>14.752000000000001</c:v>
                </c:pt>
                <c:pt idx="90">
                  <c:v>15.843999999999999</c:v>
                </c:pt>
                <c:pt idx="91">
                  <c:v>16.937000000000001</c:v>
                </c:pt>
                <c:pt idx="92">
                  <c:v>18.03</c:v>
                </c:pt>
                <c:pt idx="93">
                  <c:v>19.12</c:v>
                </c:pt>
                <c:pt idx="94">
                  <c:v>20.22</c:v>
                </c:pt>
                <c:pt idx="95">
                  <c:v>21.31</c:v>
                </c:pt>
                <c:pt idx="96">
                  <c:v>22.4</c:v>
                </c:pt>
                <c:pt idx="97">
                  <c:v>23.49</c:v>
                </c:pt>
                <c:pt idx="98">
                  <c:v>24.59</c:v>
                </c:pt>
                <c:pt idx="99">
                  <c:v>25.68</c:v>
                </c:pt>
                <c:pt idx="100">
                  <c:v>26.77</c:v>
                </c:pt>
                <c:pt idx="101">
                  <c:v>27.86</c:v>
                </c:pt>
                <c:pt idx="102">
                  <c:v>28.96</c:v>
                </c:pt>
                <c:pt idx="103">
                  <c:v>30.05</c:v>
                </c:pt>
                <c:pt idx="104">
                  <c:v>31.14</c:v>
                </c:pt>
                <c:pt idx="105">
                  <c:v>32.24</c:v>
                </c:pt>
                <c:pt idx="106">
                  <c:v>33.33</c:v>
                </c:pt>
                <c:pt idx="107">
                  <c:v>34.42</c:v>
                </c:pt>
                <c:pt idx="108">
                  <c:v>35.51</c:v>
                </c:pt>
                <c:pt idx="109">
                  <c:v>36.61</c:v>
                </c:pt>
                <c:pt idx="110">
                  <c:v>37.700000000000003</c:v>
                </c:pt>
                <c:pt idx="111">
                  <c:v>38.79</c:v>
                </c:pt>
                <c:pt idx="112">
                  <c:v>39.880000000000003</c:v>
                </c:pt>
                <c:pt idx="113">
                  <c:v>40.98</c:v>
                </c:pt>
                <c:pt idx="114">
                  <c:v>42.07</c:v>
                </c:pt>
                <c:pt idx="115">
                  <c:v>43.16</c:v>
                </c:pt>
                <c:pt idx="116">
                  <c:v>44.25</c:v>
                </c:pt>
                <c:pt idx="117">
                  <c:v>45.35</c:v>
                </c:pt>
                <c:pt idx="118">
                  <c:v>46.44</c:v>
                </c:pt>
                <c:pt idx="119">
                  <c:v>47.53</c:v>
                </c:pt>
                <c:pt idx="120">
                  <c:v>48.63</c:v>
                </c:pt>
                <c:pt idx="121">
                  <c:v>49.72</c:v>
                </c:pt>
                <c:pt idx="122">
                  <c:v>50.81</c:v>
                </c:pt>
                <c:pt idx="123">
                  <c:v>51.9</c:v>
                </c:pt>
                <c:pt idx="124">
                  <c:v>53</c:v>
                </c:pt>
                <c:pt idx="125">
                  <c:v>54.09</c:v>
                </c:pt>
                <c:pt idx="126">
                  <c:v>55.18</c:v>
                </c:pt>
                <c:pt idx="127">
                  <c:v>56.27</c:v>
                </c:pt>
                <c:pt idx="128">
                  <c:v>57.37</c:v>
                </c:pt>
                <c:pt idx="129">
                  <c:v>58.46</c:v>
                </c:pt>
                <c:pt idx="130">
                  <c:v>59.55</c:v>
                </c:pt>
                <c:pt idx="131">
                  <c:v>60.65</c:v>
                </c:pt>
                <c:pt idx="132">
                  <c:v>61.74</c:v>
                </c:pt>
                <c:pt idx="133">
                  <c:v>62.83</c:v>
                </c:pt>
                <c:pt idx="134">
                  <c:v>63.92</c:v>
                </c:pt>
                <c:pt idx="135">
                  <c:v>65.02</c:v>
                </c:pt>
                <c:pt idx="136">
                  <c:v>66.11</c:v>
                </c:pt>
                <c:pt idx="137">
                  <c:v>67.2</c:v>
                </c:pt>
                <c:pt idx="138">
                  <c:v>68.290000000000006</c:v>
                </c:pt>
                <c:pt idx="139">
                  <c:v>69.39</c:v>
                </c:pt>
                <c:pt idx="140">
                  <c:v>70.48</c:v>
                </c:pt>
                <c:pt idx="141">
                  <c:v>71.569999999999993</c:v>
                </c:pt>
                <c:pt idx="142">
                  <c:v>72.67</c:v>
                </c:pt>
                <c:pt idx="143">
                  <c:v>73.760000000000005</c:v>
                </c:pt>
                <c:pt idx="144">
                  <c:v>74.849999999999994</c:v>
                </c:pt>
                <c:pt idx="145">
                  <c:v>75.94</c:v>
                </c:pt>
                <c:pt idx="146">
                  <c:v>77.040000000000006</c:v>
                </c:pt>
                <c:pt idx="147">
                  <c:v>78.13</c:v>
                </c:pt>
                <c:pt idx="148">
                  <c:v>79.22</c:v>
                </c:pt>
                <c:pt idx="149">
                  <c:v>80.31</c:v>
                </c:pt>
                <c:pt idx="150">
                  <c:v>81.41</c:v>
                </c:pt>
                <c:pt idx="151">
                  <c:v>82.5</c:v>
                </c:pt>
              </c:numCache>
            </c:numRef>
          </c:xVal>
          <c:yVal>
            <c:numRef>
              <c:f>Path_Distribution!$E$5:$E$156</c:f>
              <c:numCache>
                <c:formatCode>0.0000</c:formatCode>
                <c:ptCount val="152"/>
                <c:pt idx="0">
                  <c:v>87.691999999999993</c:v>
                </c:pt>
                <c:pt idx="1">
                  <c:v>87.694999999999993</c:v>
                </c:pt>
                <c:pt idx="2">
                  <c:v>87.697000000000003</c:v>
                </c:pt>
                <c:pt idx="3">
                  <c:v>87.7</c:v>
                </c:pt>
                <c:pt idx="4">
                  <c:v>87.703000000000003</c:v>
                </c:pt>
                <c:pt idx="5">
                  <c:v>87.704999999999998</c:v>
                </c:pt>
                <c:pt idx="6">
                  <c:v>87.707999999999998</c:v>
                </c:pt>
                <c:pt idx="7">
                  <c:v>87.710999999999999</c:v>
                </c:pt>
                <c:pt idx="8">
                  <c:v>87.691999999999993</c:v>
                </c:pt>
                <c:pt idx="9">
                  <c:v>87.650999999999996</c:v>
                </c:pt>
                <c:pt idx="10">
                  <c:v>87.61</c:v>
                </c:pt>
                <c:pt idx="11">
                  <c:v>87.569000000000003</c:v>
                </c:pt>
                <c:pt idx="12">
                  <c:v>87.528000000000006</c:v>
                </c:pt>
                <c:pt idx="13">
                  <c:v>87.486999999999995</c:v>
                </c:pt>
                <c:pt idx="14">
                  <c:v>87.444999999999993</c:v>
                </c:pt>
                <c:pt idx="15">
                  <c:v>87.394999999999996</c:v>
                </c:pt>
                <c:pt idx="16">
                  <c:v>87.622</c:v>
                </c:pt>
                <c:pt idx="17">
                  <c:v>87.85</c:v>
                </c:pt>
                <c:pt idx="18">
                  <c:v>88.08</c:v>
                </c:pt>
                <c:pt idx="19">
                  <c:v>88.31</c:v>
                </c:pt>
                <c:pt idx="20">
                  <c:v>88.540999999999997</c:v>
                </c:pt>
                <c:pt idx="21">
                  <c:v>88.772999999999996</c:v>
                </c:pt>
                <c:pt idx="22">
                  <c:v>89.007000000000005</c:v>
                </c:pt>
                <c:pt idx="23">
                  <c:v>89.822999999999993</c:v>
                </c:pt>
                <c:pt idx="24">
                  <c:v>91.358000000000004</c:v>
                </c:pt>
                <c:pt idx="25">
                  <c:v>92.896000000000001</c:v>
                </c:pt>
                <c:pt idx="26">
                  <c:v>94.435000000000002</c:v>
                </c:pt>
                <c:pt idx="27">
                  <c:v>95.977000000000004</c:v>
                </c:pt>
                <c:pt idx="28">
                  <c:v>97.519000000000005</c:v>
                </c:pt>
                <c:pt idx="29">
                  <c:v>99.063999999999993</c:v>
                </c:pt>
                <c:pt idx="30">
                  <c:v>100.61</c:v>
                </c:pt>
                <c:pt idx="31">
                  <c:v>101.29</c:v>
                </c:pt>
                <c:pt idx="32">
                  <c:v>101.92</c:v>
                </c:pt>
                <c:pt idx="33">
                  <c:v>102.57</c:v>
                </c:pt>
                <c:pt idx="34">
                  <c:v>103.23</c:v>
                </c:pt>
                <c:pt idx="35">
                  <c:v>103.9</c:v>
                </c:pt>
                <c:pt idx="36">
                  <c:v>104.58</c:v>
                </c:pt>
                <c:pt idx="37">
                  <c:v>105.92</c:v>
                </c:pt>
                <c:pt idx="38">
                  <c:v>107.73</c:v>
                </c:pt>
                <c:pt idx="39">
                  <c:v>109.55</c:v>
                </c:pt>
                <c:pt idx="40">
                  <c:v>111.37</c:v>
                </c:pt>
                <c:pt idx="41">
                  <c:v>113.19</c:v>
                </c:pt>
                <c:pt idx="42">
                  <c:v>115.02</c:v>
                </c:pt>
                <c:pt idx="43">
                  <c:v>116.8</c:v>
                </c:pt>
                <c:pt idx="44">
                  <c:v>118.22</c:v>
                </c:pt>
                <c:pt idx="45">
                  <c:v>119.64</c:v>
                </c:pt>
                <c:pt idx="46">
                  <c:v>121.06</c:v>
                </c:pt>
                <c:pt idx="47">
                  <c:v>122.48</c:v>
                </c:pt>
                <c:pt idx="48">
                  <c:v>123.9</c:v>
                </c:pt>
                <c:pt idx="49">
                  <c:v>125.33</c:v>
                </c:pt>
                <c:pt idx="50">
                  <c:v>126.14</c:v>
                </c:pt>
                <c:pt idx="51">
                  <c:v>126.5</c:v>
                </c:pt>
                <c:pt idx="52">
                  <c:v>126.86</c:v>
                </c:pt>
                <c:pt idx="53">
                  <c:v>127.22</c:v>
                </c:pt>
                <c:pt idx="54">
                  <c:v>127.58</c:v>
                </c:pt>
                <c:pt idx="55">
                  <c:v>127.94</c:v>
                </c:pt>
                <c:pt idx="56">
                  <c:v>128.31</c:v>
                </c:pt>
                <c:pt idx="57">
                  <c:v>128.62</c:v>
                </c:pt>
                <c:pt idx="58">
                  <c:v>128.56</c:v>
                </c:pt>
                <c:pt idx="59">
                  <c:v>128.5</c:v>
                </c:pt>
                <c:pt idx="60">
                  <c:v>128.44</c:v>
                </c:pt>
                <c:pt idx="61">
                  <c:v>128.38</c:v>
                </c:pt>
                <c:pt idx="62">
                  <c:v>128.33000000000001</c:v>
                </c:pt>
                <c:pt idx="63">
                  <c:v>128.27000000000001</c:v>
                </c:pt>
                <c:pt idx="64">
                  <c:v>128.21</c:v>
                </c:pt>
                <c:pt idx="65">
                  <c:v>128.19</c:v>
                </c:pt>
                <c:pt idx="66">
                  <c:v>128.19999999999999</c:v>
                </c:pt>
                <c:pt idx="67">
                  <c:v>128.19999999999999</c:v>
                </c:pt>
                <c:pt idx="68">
                  <c:v>128.19999999999999</c:v>
                </c:pt>
                <c:pt idx="69">
                  <c:v>128.19999999999999</c:v>
                </c:pt>
                <c:pt idx="70">
                  <c:v>128.21</c:v>
                </c:pt>
                <c:pt idx="71">
                  <c:v>128.21</c:v>
                </c:pt>
                <c:pt idx="72">
                  <c:v>128.21</c:v>
                </c:pt>
                <c:pt idx="73">
                  <c:v>128.21</c:v>
                </c:pt>
                <c:pt idx="74">
                  <c:v>128.21</c:v>
                </c:pt>
                <c:pt idx="75">
                  <c:v>128.21</c:v>
                </c:pt>
                <c:pt idx="76">
                  <c:v>128.21</c:v>
                </c:pt>
                <c:pt idx="77">
                  <c:v>128.21</c:v>
                </c:pt>
                <c:pt idx="78">
                  <c:v>128.21</c:v>
                </c:pt>
                <c:pt idx="79">
                  <c:v>128.21</c:v>
                </c:pt>
                <c:pt idx="80">
                  <c:v>128.21</c:v>
                </c:pt>
                <c:pt idx="81">
                  <c:v>128.21</c:v>
                </c:pt>
                <c:pt idx="82">
                  <c:v>128.19999999999999</c:v>
                </c:pt>
                <c:pt idx="83">
                  <c:v>128.19999999999999</c:v>
                </c:pt>
                <c:pt idx="84">
                  <c:v>128.19999999999999</c:v>
                </c:pt>
                <c:pt idx="85">
                  <c:v>128.19999999999999</c:v>
                </c:pt>
                <c:pt idx="86">
                  <c:v>128.19999999999999</c:v>
                </c:pt>
                <c:pt idx="87">
                  <c:v>128.21</c:v>
                </c:pt>
                <c:pt idx="88">
                  <c:v>128.27000000000001</c:v>
                </c:pt>
                <c:pt idx="89">
                  <c:v>128.33000000000001</c:v>
                </c:pt>
                <c:pt idx="90">
                  <c:v>128.38999999999999</c:v>
                </c:pt>
                <c:pt idx="91">
                  <c:v>128.44999999999999</c:v>
                </c:pt>
                <c:pt idx="92">
                  <c:v>128.5</c:v>
                </c:pt>
                <c:pt idx="93">
                  <c:v>128.56</c:v>
                </c:pt>
                <c:pt idx="94">
                  <c:v>128.62</c:v>
                </c:pt>
                <c:pt idx="95">
                  <c:v>128.31</c:v>
                </c:pt>
                <c:pt idx="96">
                  <c:v>127.95</c:v>
                </c:pt>
                <c:pt idx="97">
                  <c:v>127.59</c:v>
                </c:pt>
                <c:pt idx="98">
                  <c:v>127.23</c:v>
                </c:pt>
                <c:pt idx="99">
                  <c:v>126.87</c:v>
                </c:pt>
                <c:pt idx="100">
                  <c:v>126.51</c:v>
                </c:pt>
                <c:pt idx="101">
                  <c:v>126.15</c:v>
                </c:pt>
                <c:pt idx="102">
                  <c:v>125.35</c:v>
                </c:pt>
                <c:pt idx="103">
                  <c:v>123.92</c:v>
                </c:pt>
                <c:pt idx="104">
                  <c:v>122.5</c:v>
                </c:pt>
                <c:pt idx="105">
                  <c:v>121.08</c:v>
                </c:pt>
                <c:pt idx="106">
                  <c:v>119.66</c:v>
                </c:pt>
                <c:pt idx="107">
                  <c:v>118.25</c:v>
                </c:pt>
                <c:pt idx="108">
                  <c:v>116.83</c:v>
                </c:pt>
                <c:pt idx="109">
                  <c:v>115.05</c:v>
                </c:pt>
                <c:pt idx="110">
                  <c:v>113.23</c:v>
                </c:pt>
                <c:pt idx="111">
                  <c:v>111.41</c:v>
                </c:pt>
                <c:pt idx="112">
                  <c:v>109.6</c:v>
                </c:pt>
                <c:pt idx="113">
                  <c:v>107.78</c:v>
                </c:pt>
                <c:pt idx="114">
                  <c:v>105.97</c:v>
                </c:pt>
                <c:pt idx="115">
                  <c:v>104.64</c:v>
                </c:pt>
                <c:pt idx="116">
                  <c:v>103.96</c:v>
                </c:pt>
                <c:pt idx="117">
                  <c:v>103.3</c:v>
                </c:pt>
                <c:pt idx="118">
                  <c:v>102.65</c:v>
                </c:pt>
                <c:pt idx="119">
                  <c:v>102.02</c:v>
                </c:pt>
                <c:pt idx="120">
                  <c:v>101.39</c:v>
                </c:pt>
                <c:pt idx="121">
                  <c:v>100.72</c:v>
                </c:pt>
                <c:pt idx="122">
                  <c:v>99.19</c:v>
                </c:pt>
                <c:pt idx="123">
                  <c:v>97.661000000000001</c:v>
                </c:pt>
                <c:pt idx="124">
                  <c:v>96.135000000000005</c:v>
                </c:pt>
                <c:pt idx="125">
                  <c:v>94.61</c:v>
                </c:pt>
                <c:pt idx="126">
                  <c:v>93.087999999999994</c:v>
                </c:pt>
                <c:pt idx="127">
                  <c:v>91.566999999999993</c:v>
                </c:pt>
                <c:pt idx="128">
                  <c:v>90.049000000000007</c:v>
                </c:pt>
                <c:pt idx="129">
                  <c:v>89.353999999999999</c:v>
                </c:pt>
                <c:pt idx="130">
                  <c:v>89.326999999999998</c:v>
                </c:pt>
                <c:pt idx="131">
                  <c:v>89.3</c:v>
                </c:pt>
                <c:pt idx="132">
                  <c:v>89.272999999999996</c:v>
                </c:pt>
                <c:pt idx="133">
                  <c:v>89.248000000000005</c:v>
                </c:pt>
                <c:pt idx="134">
                  <c:v>89.221999999999994</c:v>
                </c:pt>
                <c:pt idx="135">
                  <c:v>89.197000000000003</c:v>
                </c:pt>
                <c:pt idx="136">
                  <c:v>89.185000000000002</c:v>
                </c:pt>
                <c:pt idx="137">
                  <c:v>89.510999999999996</c:v>
                </c:pt>
                <c:pt idx="138">
                  <c:v>89.838999999999999</c:v>
                </c:pt>
                <c:pt idx="139">
                  <c:v>90.168000000000006</c:v>
                </c:pt>
                <c:pt idx="140">
                  <c:v>90.498999999999995</c:v>
                </c:pt>
                <c:pt idx="141">
                  <c:v>90.831999999999994</c:v>
                </c:pt>
                <c:pt idx="142">
                  <c:v>91.165999999999997</c:v>
                </c:pt>
                <c:pt idx="143">
                  <c:v>91.503</c:v>
                </c:pt>
                <c:pt idx="144">
                  <c:v>89.616</c:v>
                </c:pt>
                <c:pt idx="145">
                  <c:v>85.676000000000002</c:v>
                </c:pt>
                <c:pt idx="146">
                  <c:v>81.766000000000005</c:v>
                </c:pt>
                <c:pt idx="147">
                  <c:v>77.89</c:v>
                </c:pt>
                <c:pt idx="148">
                  <c:v>74.052999999999997</c:v>
                </c:pt>
                <c:pt idx="149">
                  <c:v>70.263000000000005</c:v>
                </c:pt>
                <c:pt idx="150">
                  <c:v>66.527000000000001</c:v>
                </c:pt>
                <c:pt idx="151">
                  <c:v>62.853999999999999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FE-4074-9DCE-8DAEFACB3D95}"/>
            </c:ext>
          </c:extLst>
        </c:ser>
        <c:ser>
          <c:idx val="2"/>
          <c:order val="2"/>
          <c:tx>
            <c:strRef>
              <c:f>Path_Distribution!$H$4</c:f>
              <c:strCache>
                <c:ptCount val="1"/>
                <c:pt idx="0">
                  <c:v>Polyethylene stress (MPa)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Path_Distribution!$A$5:$A$156</c:f>
              <c:numCache>
                <c:formatCode>General</c:formatCode>
                <c:ptCount val="152"/>
                <c:pt idx="0">
                  <c:v>-82.5</c:v>
                </c:pt>
                <c:pt idx="1">
                  <c:v>-81.407300000000006</c:v>
                </c:pt>
                <c:pt idx="2">
                  <c:v>-80.314599999999999</c:v>
                </c:pt>
                <c:pt idx="3">
                  <c:v>-79.221900000000005</c:v>
                </c:pt>
                <c:pt idx="4">
                  <c:v>-78.129099999999994</c:v>
                </c:pt>
                <c:pt idx="5">
                  <c:v>-77.0364</c:v>
                </c:pt>
                <c:pt idx="6">
                  <c:v>-75.943700000000007</c:v>
                </c:pt>
                <c:pt idx="7">
                  <c:v>-74.850999999999999</c:v>
                </c:pt>
                <c:pt idx="8">
                  <c:v>-73.758300000000006</c:v>
                </c:pt>
                <c:pt idx="9">
                  <c:v>-72.665599999999998</c:v>
                </c:pt>
                <c:pt idx="10">
                  <c:v>-71.572999999999993</c:v>
                </c:pt>
                <c:pt idx="11">
                  <c:v>-70.48</c:v>
                </c:pt>
                <c:pt idx="12">
                  <c:v>-69.387</c:v>
                </c:pt>
                <c:pt idx="13">
                  <c:v>-68.295000000000002</c:v>
                </c:pt>
                <c:pt idx="14">
                  <c:v>-67.201999999999998</c:v>
                </c:pt>
                <c:pt idx="15">
                  <c:v>-66.108999999999995</c:v>
                </c:pt>
                <c:pt idx="16">
                  <c:v>-65.016999999999996</c:v>
                </c:pt>
                <c:pt idx="17">
                  <c:v>-63.923999999999999</c:v>
                </c:pt>
                <c:pt idx="18">
                  <c:v>-62.831000000000003</c:v>
                </c:pt>
                <c:pt idx="19">
                  <c:v>-61.738</c:v>
                </c:pt>
                <c:pt idx="20">
                  <c:v>-60.646000000000001</c:v>
                </c:pt>
                <c:pt idx="21">
                  <c:v>-59.552999999999997</c:v>
                </c:pt>
                <c:pt idx="22">
                  <c:v>-58.46</c:v>
                </c:pt>
                <c:pt idx="23">
                  <c:v>-57.368000000000002</c:v>
                </c:pt>
                <c:pt idx="24">
                  <c:v>-56.274999999999999</c:v>
                </c:pt>
                <c:pt idx="25">
                  <c:v>-55.182000000000002</c:v>
                </c:pt>
                <c:pt idx="26">
                  <c:v>-54.088999999999999</c:v>
                </c:pt>
                <c:pt idx="27">
                  <c:v>-52.997</c:v>
                </c:pt>
                <c:pt idx="28">
                  <c:v>-51.904000000000003</c:v>
                </c:pt>
                <c:pt idx="29">
                  <c:v>-50.811</c:v>
                </c:pt>
                <c:pt idx="30">
                  <c:v>-49.719000000000001</c:v>
                </c:pt>
                <c:pt idx="31">
                  <c:v>-48.625999999999998</c:v>
                </c:pt>
                <c:pt idx="32">
                  <c:v>-47.533000000000001</c:v>
                </c:pt>
                <c:pt idx="33">
                  <c:v>-46.44</c:v>
                </c:pt>
                <c:pt idx="34">
                  <c:v>-45.347999999999999</c:v>
                </c:pt>
                <c:pt idx="35">
                  <c:v>-44.255000000000003</c:v>
                </c:pt>
                <c:pt idx="36">
                  <c:v>-43.161999999999999</c:v>
                </c:pt>
                <c:pt idx="37">
                  <c:v>-42.07</c:v>
                </c:pt>
                <c:pt idx="38">
                  <c:v>-40.976999999999997</c:v>
                </c:pt>
                <c:pt idx="39">
                  <c:v>-39.884</c:v>
                </c:pt>
                <c:pt idx="40">
                  <c:v>-38.790999999999997</c:v>
                </c:pt>
                <c:pt idx="41">
                  <c:v>-37.698999999999998</c:v>
                </c:pt>
                <c:pt idx="42">
                  <c:v>-36.606000000000002</c:v>
                </c:pt>
                <c:pt idx="43">
                  <c:v>-35.512999999999998</c:v>
                </c:pt>
                <c:pt idx="44">
                  <c:v>-34.420999999999999</c:v>
                </c:pt>
                <c:pt idx="45">
                  <c:v>-33.328000000000003</c:v>
                </c:pt>
                <c:pt idx="46">
                  <c:v>-32.234999999999999</c:v>
                </c:pt>
                <c:pt idx="47">
                  <c:v>-31.141999999999999</c:v>
                </c:pt>
                <c:pt idx="48">
                  <c:v>-30.05</c:v>
                </c:pt>
                <c:pt idx="49">
                  <c:v>-28.957000000000001</c:v>
                </c:pt>
                <c:pt idx="50">
                  <c:v>-27.864000000000001</c:v>
                </c:pt>
                <c:pt idx="51">
                  <c:v>-26.771999999999998</c:v>
                </c:pt>
                <c:pt idx="52">
                  <c:v>-25.678999999999998</c:v>
                </c:pt>
                <c:pt idx="53">
                  <c:v>-24.585999999999999</c:v>
                </c:pt>
                <c:pt idx="54">
                  <c:v>-23.492999999999999</c:v>
                </c:pt>
                <c:pt idx="55">
                  <c:v>-22.401</c:v>
                </c:pt>
                <c:pt idx="56">
                  <c:v>-21.308</c:v>
                </c:pt>
                <c:pt idx="57">
                  <c:v>-20.215</c:v>
                </c:pt>
                <c:pt idx="58">
                  <c:v>-19.123000000000001</c:v>
                </c:pt>
                <c:pt idx="59">
                  <c:v>-18.03</c:v>
                </c:pt>
                <c:pt idx="60">
                  <c:v>-16.937000000000001</c:v>
                </c:pt>
                <c:pt idx="61">
                  <c:v>-15.843999999999999</c:v>
                </c:pt>
                <c:pt idx="62">
                  <c:v>-14.752000000000001</c:v>
                </c:pt>
                <c:pt idx="63">
                  <c:v>-13.659000000000001</c:v>
                </c:pt>
                <c:pt idx="64">
                  <c:v>-12.566000000000001</c:v>
                </c:pt>
                <c:pt idx="65">
                  <c:v>-11.474</c:v>
                </c:pt>
                <c:pt idx="66">
                  <c:v>-10.381</c:v>
                </c:pt>
                <c:pt idx="67">
                  <c:v>-9.2880000000000003</c:v>
                </c:pt>
                <c:pt idx="68">
                  <c:v>-8.1950000000000003</c:v>
                </c:pt>
                <c:pt idx="69">
                  <c:v>-7.1029999999999998</c:v>
                </c:pt>
                <c:pt idx="70">
                  <c:v>-6.01</c:v>
                </c:pt>
                <c:pt idx="71">
                  <c:v>-4.9169999999999998</c:v>
                </c:pt>
                <c:pt idx="72">
                  <c:v>-3.8250000000000002</c:v>
                </c:pt>
                <c:pt idx="73">
                  <c:v>-2.7320000000000002</c:v>
                </c:pt>
                <c:pt idx="74">
                  <c:v>-1.639</c:v>
                </c:pt>
                <c:pt idx="75">
                  <c:v>-0.54600000000000004</c:v>
                </c:pt>
                <c:pt idx="76">
                  <c:v>0.54600000000000004</c:v>
                </c:pt>
                <c:pt idx="77">
                  <c:v>1.639</c:v>
                </c:pt>
                <c:pt idx="78">
                  <c:v>2.7320000000000002</c:v>
                </c:pt>
                <c:pt idx="79">
                  <c:v>3.8250000000000002</c:v>
                </c:pt>
                <c:pt idx="80">
                  <c:v>4.9169999999999998</c:v>
                </c:pt>
                <c:pt idx="81">
                  <c:v>6.01</c:v>
                </c:pt>
                <c:pt idx="82">
                  <c:v>7.1029999999999998</c:v>
                </c:pt>
                <c:pt idx="83">
                  <c:v>8.1950000000000003</c:v>
                </c:pt>
                <c:pt idx="84">
                  <c:v>9.2880000000000003</c:v>
                </c:pt>
                <c:pt idx="85">
                  <c:v>10.381</c:v>
                </c:pt>
                <c:pt idx="86">
                  <c:v>11.474</c:v>
                </c:pt>
                <c:pt idx="87">
                  <c:v>12.566000000000001</c:v>
                </c:pt>
                <c:pt idx="88">
                  <c:v>13.659000000000001</c:v>
                </c:pt>
                <c:pt idx="89">
                  <c:v>14.752000000000001</c:v>
                </c:pt>
                <c:pt idx="90">
                  <c:v>15.843999999999999</c:v>
                </c:pt>
                <c:pt idx="91">
                  <c:v>16.937000000000001</c:v>
                </c:pt>
                <c:pt idx="92">
                  <c:v>18.03</c:v>
                </c:pt>
                <c:pt idx="93">
                  <c:v>19.12</c:v>
                </c:pt>
                <c:pt idx="94">
                  <c:v>20.22</c:v>
                </c:pt>
                <c:pt idx="95">
                  <c:v>21.31</c:v>
                </c:pt>
                <c:pt idx="96">
                  <c:v>22.4</c:v>
                </c:pt>
                <c:pt idx="97">
                  <c:v>23.49</c:v>
                </c:pt>
                <c:pt idx="98">
                  <c:v>24.59</c:v>
                </c:pt>
                <c:pt idx="99">
                  <c:v>25.68</c:v>
                </c:pt>
                <c:pt idx="100">
                  <c:v>26.77</c:v>
                </c:pt>
                <c:pt idx="101">
                  <c:v>27.86</c:v>
                </c:pt>
                <c:pt idx="102">
                  <c:v>28.96</c:v>
                </c:pt>
                <c:pt idx="103">
                  <c:v>30.05</c:v>
                </c:pt>
                <c:pt idx="104">
                  <c:v>31.14</c:v>
                </c:pt>
                <c:pt idx="105">
                  <c:v>32.24</c:v>
                </c:pt>
                <c:pt idx="106">
                  <c:v>33.33</c:v>
                </c:pt>
                <c:pt idx="107">
                  <c:v>34.42</c:v>
                </c:pt>
                <c:pt idx="108">
                  <c:v>35.51</c:v>
                </c:pt>
                <c:pt idx="109">
                  <c:v>36.61</c:v>
                </c:pt>
                <c:pt idx="110">
                  <c:v>37.700000000000003</c:v>
                </c:pt>
                <c:pt idx="111">
                  <c:v>38.79</c:v>
                </c:pt>
                <c:pt idx="112">
                  <c:v>39.880000000000003</c:v>
                </c:pt>
                <c:pt idx="113">
                  <c:v>40.98</c:v>
                </c:pt>
                <c:pt idx="114">
                  <c:v>42.07</c:v>
                </c:pt>
                <c:pt idx="115">
                  <c:v>43.16</c:v>
                </c:pt>
                <c:pt idx="116">
                  <c:v>44.25</c:v>
                </c:pt>
                <c:pt idx="117">
                  <c:v>45.35</c:v>
                </c:pt>
                <c:pt idx="118">
                  <c:v>46.44</c:v>
                </c:pt>
                <c:pt idx="119">
                  <c:v>47.53</c:v>
                </c:pt>
                <c:pt idx="120">
                  <c:v>48.63</c:v>
                </c:pt>
                <c:pt idx="121">
                  <c:v>49.72</c:v>
                </c:pt>
                <c:pt idx="122">
                  <c:v>50.81</c:v>
                </c:pt>
                <c:pt idx="123">
                  <c:v>51.9</c:v>
                </c:pt>
                <c:pt idx="124">
                  <c:v>53</c:v>
                </c:pt>
                <c:pt idx="125">
                  <c:v>54.09</c:v>
                </c:pt>
                <c:pt idx="126">
                  <c:v>55.18</c:v>
                </c:pt>
                <c:pt idx="127">
                  <c:v>56.27</c:v>
                </c:pt>
                <c:pt idx="128">
                  <c:v>57.37</c:v>
                </c:pt>
                <c:pt idx="129">
                  <c:v>58.46</c:v>
                </c:pt>
                <c:pt idx="130">
                  <c:v>59.55</c:v>
                </c:pt>
                <c:pt idx="131">
                  <c:v>60.65</c:v>
                </c:pt>
                <c:pt idx="132">
                  <c:v>61.74</c:v>
                </c:pt>
                <c:pt idx="133">
                  <c:v>62.83</c:v>
                </c:pt>
                <c:pt idx="134">
                  <c:v>63.92</c:v>
                </c:pt>
                <c:pt idx="135">
                  <c:v>65.02</c:v>
                </c:pt>
                <c:pt idx="136">
                  <c:v>66.11</c:v>
                </c:pt>
                <c:pt idx="137">
                  <c:v>67.2</c:v>
                </c:pt>
                <c:pt idx="138">
                  <c:v>68.290000000000006</c:v>
                </c:pt>
                <c:pt idx="139">
                  <c:v>69.39</c:v>
                </c:pt>
                <c:pt idx="140">
                  <c:v>70.48</c:v>
                </c:pt>
                <c:pt idx="141">
                  <c:v>71.569999999999993</c:v>
                </c:pt>
                <c:pt idx="142">
                  <c:v>72.67</c:v>
                </c:pt>
                <c:pt idx="143">
                  <c:v>73.760000000000005</c:v>
                </c:pt>
                <c:pt idx="144">
                  <c:v>74.849999999999994</c:v>
                </c:pt>
                <c:pt idx="145">
                  <c:v>75.94</c:v>
                </c:pt>
                <c:pt idx="146">
                  <c:v>77.040000000000006</c:v>
                </c:pt>
                <c:pt idx="147">
                  <c:v>78.13</c:v>
                </c:pt>
                <c:pt idx="148">
                  <c:v>79.22</c:v>
                </c:pt>
                <c:pt idx="149">
                  <c:v>80.31</c:v>
                </c:pt>
                <c:pt idx="150">
                  <c:v>81.41</c:v>
                </c:pt>
                <c:pt idx="151">
                  <c:v>82.5</c:v>
                </c:pt>
              </c:numCache>
            </c:numRef>
          </c:xVal>
          <c:yVal>
            <c:numRef>
              <c:f>Path_Distribution!$H$5:$H$156</c:f>
              <c:numCache>
                <c:formatCode>0.0000</c:formatCode>
                <c:ptCount val="152"/>
                <c:pt idx="0">
                  <c:v>87.694000000000003</c:v>
                </c:pt>
                <c:pt idx="1">
                  <c:v>87.697000000000003</c:v>
                </c:pt>
                <c:pt idx="2">
                  <c:v>87.7</c:v>
                </c:pt>
                <c:pt idx="3">
                  <c:v>87.703000000000003</c:v>
                </c:pt>
                <c:pt idx="4">
                  <c:v>87.706000000000003</c:v>
                </c:pt>
                <c:pt idx="5">
                  <c:v>87.709000000000003</c:v>
                </c:pt>
                <c:pt idx="6">
                  <c:v>87.712000000000003</c:v>
                </c:pt>
                <c:pt idx="7">
                  <c:v>87.715000000000003</c:v>
                </c:pt>
                <c:pt idx="8">
                  <c:v>87.697000000000003</c:v>
                </c:pt>
                <c:pt idx="9">
                  <c:v>87.655000000000001</c:v>
                </c:pt>
                <c:pt idx="10">
                  <c:v>87.614000000000004</c:v>
                </c:pt>
                <c:pt idx="11">
                  <c:v>87.572000000000003</c:v>
                </c:pt>
                <c:pt idx="12">
                  <c:v>87.531000000000006</c:v>
                </c:pt>
                <c:pt idx="13">
                  <c:v>87.489000000000004</c:v>
                </c:pt>
                <c:pt idx="14">
                  <c:v>87.447000000000003</c:v>
                </c:pt>
                <c:pt idx="15">
                  <c:v>87.397000000000006</c:v>
                </c:pt>
                <c:pt idx="16">
                  <c:v>87.623000000000005</c:v>
                </c:pt>
                <c:pt idx="17">
                  <c:v>87.85</c:v>
                </c:pt>
                <c:pt idx="18">
                  <c:v>88.078999999999994</c:v>
                </c:pt>
                <c:pt idx="19">
                  <c:v>88.308000000000007</c:v>
                </c:pt>
                <c:pt idx="20">
                  <c:v>88.539000000000001</c:v>
                </c:pt>
                <c:pt idx="21">
                  <c:v>88.77</c:v>
                </c:pt>
                <c:pt idx="22">
                  <c:v>89.003</c:v>
                </c:pt>
                <c:pt idx="23">
                  <c:v>89.817999999999998</c:v>
                </c:pt>
                <c:pt idx="24">
                  <c:v>91.353999999999999</c:v>
                </c:pt>
                <c:pt idx="25">
                  <c:v>92.891000000000005</c:v>
                </c:pt>
                <c:pt idx="26">
                  <c:v>94.429000000000002</c:v>
                </c:pt>
                <c:pt idx="27">
                  <c:v>95.97</c:v>
                </c:pt>
                <c:pt idx="28">
                  <c:v>97.512</c:v>
                </c:pt>
                <c:pt idx="29">
                  <c:v>99.055999999999997</c:v>
                </c:pt>
                <c:pt idx="30">
                  <c:v>100.6</c:v>
                </c:pt>
                <c:pt idx="31">
                  <c:v>101.29</c:v>
                </c:pt>
                <c:pt idx="32">
                  <c:v>101.92</c:v>
                </c:pt>
                <c:pt idx="33">
                  <c:v>102.56</c:v>
                </c:pt>
                <c:pt idx="34">
                  <c:v>103.22</c:v>
                </c:pt>
                <c:pt idx="35">
                  <c:v>103.89</c:v>
                </c:pt>
                <c:pt idx="36">
                  <c:v>104.58</c:v>
                </c:pt>
                <c:pt idx="37">
                  <c:v>105.92</c:v>
                </c:pt>
                <c:pt idx="38">
                  <c:v>107.73</c:v>
                </c:pt>
                <c:pt idx="39">
                  <c:v>109.55</c:v>
                </c:pt>
                <c:pt idx="40">
                  <c:v>111.36</c:v>
                </c:pt>
                <c:pt idx="41">
                  <c:v>113.19</c:v>
                </c:pt>
                <c:pt idx="42">
                  <c:v>115.01</c:v>
                </c:pt>
                <c:pt idx="43">
                  <c:v>116.79</c:v>
                </c:pt>
                <c:pt idx="44">
                  <c:v>118.21</c:v>
                </c:pt>
                <c:pt idx="45">
                  <c:v>119.63</c:v>
                </c:pt>
                <c:pt idx="46">
                  <c:v>121.06</c:v>
                </c:pt>
                <c:pt idx="47">
                  <c:v>122.48</c:v>
                </c:pt>
                <c:pt idx="48">
                  <c:v>123.91</c:v>
                </c:pt>
                <c:pt idx="49">
                  <c:v>125.34</c:v>
                </c:pt>
                <c:pt idx="50">
                  <c:v>126.15</c:v>
                </c:pt>
                <c:pt idx="51">
                  <c:v>126.51</c:v>
                </c:pt>
                <c:pt idx="52">
                  <c:v>126.87</c:v>
                </c:pt>
                <c:pt idx="53">
                  <c:v>127.23</c:v>
                </c:pt>
                <c:pt idx="54">
                  <c:v>127.59</c:v>
                </c:pt>
                <c:pt idx="55">
                  <c:v>127.95</c:v>
                </c:pt>
                <c:pt idx="56">
                  <c:v>128.32</c:v>
                </c:pt>
                <c:pt idx="57">
                  <c:v>128.63</c:v>
                </c:pt>
                <c:pt idx="58">
                  <c:v>128.56</c:v>
                </c:pt>
                <c:pt idx="59">
                  <c:v>128.5</c:v>
                </c:pt>
                <c:pt idx="60">
                  <c:v>128.44</c:v>
                </c:pt>
                <c:pt idx="61">
                  <c:v>128.38</c:v>
                </c:pt>
                <c:pt idx="62">
                  <c:v>128.32</c:v>
                </c:pt>
                <c:pt idx="63">
                  <c:v>128.26</c:v>
                </c:pt>
                <c:pt idx="64">
                  <c:v>128.19999999999999</c:v>
                </c:pt>
                <c:pt idx="65">
                  <c:v>128.19</c:v>
                </c:pt>
                <c:pt idx="66">
                  <c:v>128.19</c:v>
                </c:pt>
                <c:pt idx="67">
                  <c:v>128.19</c:v>
                </c:pt>
                <c:pt idx="68">
                  <c:v>128.19999999999999</c:v>
                </c:pt>
                <c:pt idx="69">
                  <c:v>128.19999999999999</c:v>
                </c:pt>
                <c:pt idx="70">
                  <c:v>128.21</c:v>
                </c:pt>
                <c:pt idx="71">
                  <c:v>128.21</c:v>
                </c:pt>
                <c:pt idx="72">
                  <c:v>128.21</c:v>
                </c:pt>
                <c:pt idx="73">
                  <c:v>128.21</c:v>
                </c:pt>
                <c:pt idx="74">
                  <c:v>128.21</c:v>
                </c:pt>
                <c:pt idx="75">
                  <c:v>128.21</c:v>
                </c:pt>
                <c:pt idx="76">
                  <c:v>128.21</c:v>
                </c:pt>
                <c:pt idx="77">
                  <c:v>128.21</c:v>
                </c:pt>
                <c:pt idx="78">
                  <c:v>128.22</c:v>
                </c:pt>
                <c:pt idx="79">
                  <c:v>128.22</c:v>
                </c:pt>
                <c:pt idx="80">
                  <c:v>128.21</c:v>
                </c:pt>
                <c:pt idx="81">
                  <c:v>128.21</c:v>
                </c:pt>
                <c:pt idx="82">
                  <c:v>128.19999999999999</c:v>
                </c:pt>
                <c:pt idx="83">
                  <c:v>128.19999999999999</c:v>
                </c:pt>
                <c:pt idx="84">
                  <c:v>128.19999999999999</c:v>
                </c:pt>
                <c:pt idx="85">
                  <c:v>128.19</c:v>
                </c:pt>
                <c:pt idx="86">
                  <c:v>128.19</c:v>
                </c:pt>
                <c:pt idx="87">
                  <c:v>128.21</c:v>
                </c:pt>
                <c:pt idx="88">
                  <c:v>128.27000000000001</c:v>
                </c:pt>
                <c:pt idx="89">
                  <c:v>128.33000000000001</c:v>
                </c:pt>
                <c:pt idx="90">
                  <c:v>128.38999999999999</c:v>
                </c:pt>
                <c:pt idx="91">
                  <c:v>128.44999999999999</c:v>
                </c:pt>
                <c:pt idx="92">
                  <c:v>128.51</c:v>
                </c:pt>
                <c:pt idx="93">
                  <c:v>128.57</c:v>
                </c:pt>
                <c:pt idx="94">
                  <c:v>128.63999999999999</c:v>
                </c:pt>
                <c:pt idx="95">
                  <c:v>128.33000000000001</c:v>
                </c:pt>
                <c:pt idx="96">
                  <c:v>127.97</c:v>
                </c:pt>
                <c:pt idx="97">
                  <c:v>127.61</c:v>
                </c:pt>
                <c:pt idx="98">
                  <c:v>127.25</c:v>
                </c:pt>
                <c:pt idx="99">
                  <c:v>126.89</c:v>
                </c:pt>
                <c:pt idx="100">
                  <c:v>126.53</c:v>
                </c:pt>
                <c:pt idx="101">
                  <c:v>126.18</c:v>
                </c:pt>
                <c:pt idx="102">
                  <c:v>125.37</c:v>
                </c:pt>
                <c:pt idx="103">
                  <c:v>123.95</c:v>
                </c:pt>
                <c:pt idx="104">
                  <c:v>122.52</c:v>
                </c:pt>
                <c:pt idx="105">
                  <c:v>121.1</c:v>
                </c:pt>
                <c:pt idx="106">
                  <c:v>119.68</c:v>
                </c:pt>
                <c:pt idx="107">
                  <c:v>118.26</c:v>
                </c:pt>
                <c:pt idx="108">
                  <c:v>116.84</c:v>
                </c:pt>
                <c:pt idx="109">
                  <c:v>115.07</c:v>
                </c:pt>
                <c:pt idx="110">
                  <c:v>113.25</c:v>
                </c:pt>
                <c:pt idx="111">
                  <c:v>111.44</c:v>
                </c:pt>
                <c:pt idx="112">
                  <c:v>109.62</c:v>
                </c:pt>
                <c:pt idx="113">
                  <c:v>107.81</c:v>
                </c:pt>
                <c:pt idx="114">
                  <c:v>106.01</c:v>
                </c:pt>
                <c:pt idx="115">
                  <c:v>104.67</c:v>
                </c:pt>
                <c:pt idx="116">
                  <c:v>104</c:v>
                </c:pt>
                <c:pt idx="117">
                  <c:v>103.34</c:v>
                </c:pt>
                <c:pt idx="118">
                  <c:v>102.69</c:v>
                </c:pt>
                <c:pt idx="119">
                  <c:v>102.06</c:v>
                </c:pt>
                <c:pt idx="120">
                  <c:v>101.43</c:v>
                </c:pt>
                <c:pt idx="121">
                  <c:v>100.76</c:v>
                </c:pt>
                <c:pt idx="122">
                  <c:v>99.244</c:v>
                </c:pt>
                <c:pt idx="123">
                  <c:v>97.728999999999999</c:v>
                </c:pt>
                <c:pt idx="124">
                  <c:v>96.215000000000003</c:v>
                </c:pt>
                <c:pt idx="125">
                  <c:v>94.703999999999994</c:v>
                </c:pt>
                <c:pt idx="126">
                  <c:v>93.194000000000003</c:v>
                </c:pt>
                <c:pt idx="127">
                  <c:v>91.686999999999998</c:v>
                </c:pt>
                <c:pt idx="128">
                  <c:v>90.180999999999997</c:v>
                </c:pt>
                <c:pt idx="129">
                  <c:v>89.524000000000001</c:v>
                </c:pt>
                <c:pt idx="130">
                  <c:v>89.552999999999997</c:v>
                </c:pt>
                <c:pt idx="131">
                  <c:v>89.581999999999994</c:v>
                </c:pt>
                <c:pt idx="132">
                  <c:v>89.611999999999995</c:v>
                </c:pt>
                <c:pt idx="133">
                  <c:v>89.641999999999996</c:v>
                </c:pt>
                <c:pt idx="134">
                  <c:v>89.671999999999997</c:v>
                </c:pt>
                <c:pt idx="135">
                  <c:v>89.703000000000003</c:v>
                </c:pt>
                <c:pt idx="136">
                  <c:v>89.747</c:v>
                </c:pt>
                <c:pt idx="137">
                  <c:v>90.129000000000005</c:v>
                </c:pt>
                <c:pt idx="138">
                  <c:v>90.513999999999996</c:v>
                </c:pt>
                <c:pt idx="139">
                  <c:v>90.902000000000001</c:v>
                </c:pt>
                <c:pt idx="140">
                  <c:v>91.293000000000006</c:v>
                </c:pt>
                <c:pt idx="141">
                  <c:v>91.686000000000007</c:v>
                </c:pt>
                <c:pt idx="142">
                  <c:v>92.081000000000003</c:v>
                </c:pt>
                <c:pt idx="143">
                  <c:v>92.48</c:v>
                </c:pt>
                <c:pt idx="144">
                  <c:v>90.052000000000007</c:v>
                </c:pt>
                <c:pt idx="145">
                  <c:v>85.021000000000001</c:v>
                </c:pt>
                <c:pt idx="146">
                  <c:v>80.040000000000006</c:v>
                </c:pt>
                <c:pt idx="147">
                  <c:v>75.12</c:v>
                </c:pt>
                <c:pt idx="148">
                  <c:v>70.272000000000006</c:v>
                </c:pt>
                <c:pt idx="149">
                  <c:v>65.513000000000005</c:v>
                </c:pt>
                <c:pt idx="150">
                  <c:v>60.863999999999997</c:v>
                </c:pt>
                <c:pt idx="151">
                  <c:v>56.353000000000002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FE-4074-9DCE-8DAEFACB3D95}"/>
            </c:ext>
          </c:extLst>
        </c:ser>
        <c:ser>
          <c:idx val="3"/>
          <c:order val="3"/>
          <c:tx>
            <c:strRef>
              <c:f>Path_Distribution!$K$4</c:f>
              <c:strCache>
                <c:ptCount val="1"/>
                <c:pt idx="0">
                  <c:v>Concrete stress (MPa)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Path_Distribution!$A$5:$A$156</c:f>
              <c:numCache>
                <c:formatCode>General</c:formatCode>
                <c:ptCount val="152"/>
                <c:pt idx="0">
                  <c:v>-82.5</c:v>
                </c:pt>
                <c:pt idx="1">
                  <c:v>-81.407300000000006</c:v>
                </c:pt>
                <c:pt idx="2">
                  <c:v>-80.314599999999999</c:v>
                </c:pt>
                <c:pt idx="3">
                  <c:v>-79.221900000000005</c:v>
                </c:pt>
                <c:pt idx="4">
                  <c:v>-78.129099999999994</c:v>
                </c:pt>
                <c:pt idx="5">
                  <c:v>-77.0364</c:v>
                </c:pt>
                <c:pt idx="6">
                  <c:v>-75.943700000000007</c:v>
                </c:pt>
                <c:pt idx="7">
                  <c:v>-74.850999999999999</c:v>
                </c:pt>
                <c:pt idx="8">
                  <c:v>-73.758300000000006</c:v>
                </c:pt>
                <c:pt idx="9">
                  <c:v>-72.665599999999998</c:v>
                </c:pt>
                <c:pt idx="10">
                  <c:v>-71.572999999999993</c:v>
                </c:pt>
                <c:pt idx="11">
                  <c:v>-70.48</c:v>
                </c:pt>
                <c:pt idx="12">
                  <c:v>-69.387</c:v>
                </c:pt>
                <c:pt idx="13">
                  <c:v>-68.295000000000002</c:v>
                </c:pt>
                <c:pt idx="14">
                  <c:v>-67.201999999999998</c:v>
                </c:pt>
                <c:pt idx="15">
                  <c:v>-66.108999999999995</c:v>
                </c:pt>
                <c:pt idx="16">
                  <c:v>-65.016999999999996</c:v>
                </c:pt>
                <c:pt idx="17">
                  <c:v>-63.923999999999999</c:v>
                </c:pt>
                <c:pt idx="18">
                  <c:v>-62.831000000000003</c:v>
                </c:pt>
                <c:pt idx="19">
                  <c:v>-61.738</c:v>
                </c:pt>
                <c:pt idx="20">
                  <c:v>-60.646000000000001</c:v>
                </c:pt>
                <c:pt idx="21">
                  <c:v>-59.552999999999997</c:v>
                </c:pt>
                <c:pt idx="22">
                  <c:v>-58.46</c:v>
                </c:pt>
                <c:pt idx="23">
                  <c:v>-57.368000000000002</c:v>
                </c:pt>
                <c:pt idx="24">
                  <c:v>-56.274999999999999</c:v>
                </c:pt>
                <c:pt idx="25">
                  <c:v>-55.182000000000002</c:v>
                </c:pt>
                <c:pt idx="26">
                  <c:v>-54.088999999999999</c:v>
                </c:pt>
                <c:pt idx="27">
                  <c:v>-52.997</c:v>
                </c:pt>
                <c:pt idx="28">
                  <c:v>-51.904000000000003</c:v>
                </c:pt>
                <c:pt idx="29">
                  <c:v>-50.811</c:v>
                </c:pt>
                <c:pt idx="30">
                  <c:v>-49.719000000000001</c:v>
                </c:pt>
                <c:pt idx="31">
                  <c:v>-48.625999999999998</c:v>
                </c:pt>
                <c:pt idx="32">
                  <c:v>-47.533000000000001</c:v>
                </c:pt>
                <c:pt idx="33">
                  <c:v>-46.44</c:v>
                </c:pt>
                <c:pt idx="34">
                  <c:v>-45.347999999999999</c:v>
                </c:pt>
                <c:pt idx="35">
                  <c:v>-44.255000000000003</c:v>
                </c:pt>
                <c:pt idx="36">
                  <c:v>-43.161999999999999</c:v>
                </c:pt>
                <c:pt idx="37">
                  <c:v>-42.07</c:v>
                </c:pt>
                <c:pt idx="38">
                  <c:v>-40.976999999999997</c:v>
                </c:pt>
                <c:pt idx="39">
                  <c:v>-39.884</c:v>
                </c:pt>
                <c:pt idx="40">
                  <c:v>-38.790999999999997</c:v>
                </c:pt>
                <c:pt idx="41">
                  <c:v>-37.698999999999998</c:v>
                </c:pt>
                <c:pt idx="42">
                  <c:v>-36.606000000000002</c:v>
                </c:pt>
                <c:pt idx="43">
                  <c:v>-35.512999999999998</c:v>
                </c:pt>
                <c:pt idx="44">
                  <c:v>-34.420999999999999</c:v>
                </c:pt>
                <c:pt idx="45">
                  <c:v>-33.328000000000003</c:v>
                </c:pt>
                <c:pt idx="46">
                  <c:v>-32.234999999999999</c:v>
                </c:pt>
                <c:pt idx="47">
                  <c:v>-31.141999999999999</c:v>
                </c:pt>
                <c:pt idx="48">
                  <c:v>-30.05</c:v>
                </c:pt>
                <c:pt idx="49">
                  <c:v>-28.957000000000001</c:v>
                </c:pt>
                <c:pt idx="50">
                  <c:v>-27.864000000000001</c:v>
                </c:pt>
                <c:pt idx="51">
                  <c:v>-26.771999999999998</c:v>
                </c:pt>
                <c:pt idx="52">
                  <c:v>-25.678999999999998</c:v>
                </c:pt>
                <c:pt idx="53">
                  <c:v>-24.585999999999999</c:v>
                </c:pt>
                <c:pt idx="54">
                  <c:v>-23.492999999999999</c:v>
                </c:pt>
                <c:pt idx="55">
                  <c:v>-22.401</c:v>
                </c:pt>
                <c:pt idx="56">
                  <c:v>-21.308</c:v>
                </c:pt>
                <c:pt idx="57">
                  <c:v>-20.215</c:v>
                </c:pt>
                <c:pt idx="58">
                  <c:v>-19.123000000000001</c:v>
                </c:pt>
                <c:pt idx="59">
                  <c:v>-18.03</c:v>
                </c:pt>
                <c:pt idx="60">
                  <c:v>-16.937000000000001</c:v>
                </c:pt>
                <c:pt idx="61">
                  <c:v>-15.843999999999999</c:v>
                </c:pt>
                <c:pt idx="62">
                  <c:v>-14.752000000000001</c:v>
                </c:pt>
                <c:pt idx="63">
                  <c:v>-13.659000000000001</c:v>
                </c:pt>
                <c:pt idx="64">
                  <c:v>-12.566000000000001</c:v>
                </c:pt>
                <c:pt idx="65">
                  <c:v>-11.474</c:v>
                </c:pt>
                <c:pt idx="66">
                  <c:v>-10.381</c:v>
                </c:pt>
                <c:pt idx="67">
                  <c:v>-9.2880000000000003</c:v>
                </c:pt>
                <c:pt idx="68">
                  <c:v>-8.1950000000000003</c:v>
                </c:pt>
                <c:pt idx="69">
                  <c:v>-7.1029999999999998</c:v>
                </c:pt>
                <c:pt idx="70">
                  <c:v>-6.01</c:v>
                </c:pt>
                <c:pt idx="71">
                  <c:v>-4.9169999999999998</c:v>
                </c:pt>
                <c:pt idx="72">
                  <c:v>-3.8250000000000002</c:v>
                </c:pt>
                <c:pt idx="73">
                  <c:v>-2.7320000000000002</c:v>
                </c:pt>
                <c:pt idx="74">
                  <c:v>-1.639</c:v>
                </c:pt>
                <c:pt idx="75">
                  <c:v>-0.54600000000000004</c:v>
                </c:pt>
                <c:pt idx="76">
                  <c:v>0.54600000000000004</c:v>
                </c:pt>
                <c:pt idx="77">
                  <c:v>1.639</c:v>
                </c:pt>
                <c:pt idx="78">
                  <c:v>2.7320000000000002</c:v>
                </c:pt>
                <c:pt idx="79">
                  <c:v>3.8250000000000002</c:v>
                </c:pt>
                <c:pt idx="80">
                  <c:v>4.9169999999999998</c:v>
                </c:pt>
                <c:pt idx="81">
                  <c:v>6.01</c:v>
                </c:pt>
                <c:pt idx="82">
                  <c:v>7.1029999999999998</c:v>
                </c:pt>
                <c:pt idx="83">
                  <c:v>8.1950000000000003</c:v>
                </c:pt>
                <c:pt idx="84">
                  <c:v>9.2880000000000003</c:v>
                </c:pt>
                <c:pt idx="85">
                  <c:v>10.381</c:v>
                </c:pt>
                <c:pt idx="86">
                  <c:v>11.474</c:v>
                </c:pt>
                <c:pt idx="87">
                  <c:v>12.566000000000001</c:v>
                </c:pt>
                <c:pt idx="88">
                  <c:v>13.659000000000001</c:v>
                </c:pt>
                <c:pt idx="89">
                  <c:v>14.752000000000001</c:v>
                </c:pt>
                <c:pt idx="90">
                  <c:v>15.843999999999999</c:v>
                </c:pt>
                <c:pt idx="91">
                  <c:v>16.937000000000001</c:v>
                </c:pt>
                <c:pt idx="92">
                  <c:v>18.03</c:v>
                </c:pt>
                <c:pt idx="93">
                  <c:v>19.12</c:v>
                </c:pt>
                <c:pt idx="94">
                  <c:v>20.22</c:v>
                </c:pt>
                <c:pt idx="95">
                  <c:v>21.31</c:v>
                </c:pt>
                <c:pt idx="96">
                  <c:v>22.4</c:v>
                </c:pt>
                <c:pt idx="97">
                  <c:v>23.49</c:v>
                </c:pt>
                <c:pt idx="98">
                  <c:v>24.59</c:v>
                </c:pt>
                <c:pt idx="99">
                  <c:v>25.68</c:v>
                </c:pt>
                <c:pt idx="100">
                  <c:v>26.77</c:v>
                </c:pt>
                <c:pt idx="101">
                  <c:v>27.86</c:v>
                </c:pt>
                <c:pt idx="102">
                  <c:v>28.96</c:v>
                </c:pt>
                <c:pt idx="103">
                  <c:v>30.05</c:v>
                </c:pt>
                <c:pt idx="104">
                  <c:v>31.14</c:v>
                </c:pt>
                <c:pt idx="105">
                  <c:v>32.24</c:v>
                </c:pt>
                <c:pt idx="106">
                  <c:v>33.33</c:v>
                </c:pt>
                <c:pt idx="107">
                  <c:v>34.42</c:v>
                </c:pt>
                <c:pt idx="108">
                  <c:v>35.51</c:v>
                </c:pt>
                <c:pt idx="109">
                  <c:v>36.61</c:v>
                </c:pt>
                <c:pt idx="110">
                  <c:v>37.700000000000003</c:v>
                </c:pt>
                <c:pt idx="111">
                  <c:v>38.79</c:v>
                </c:pt>
                <c:pt idx="112">
                  <c:v>39.880000000000003</c:v>
                </c:pt>
                <c:pt idx="113">
                  <c:v>40.98</c:v>
                </c:pt>
                <c:pt idx="114">
                  <c:v>42.07</c:v>
                </c:pt>
                <c:pt idx="115">
                  <c:v>43.16</c:v>
                </c:pt>
                <c:pt idx="116">
                  <c:v>44.25</c:v>
                </c:pt>
                <c:pt idx="117">
                  <c:v>45.35</c:v>
                </c:pt>
                <c:pt idx="118">
                  <c:v>46.44</c:v>
                </c:pt>
                <c:pt idx="119">
                  <c:v>47.53</c:v>
                </c:pt>
                <c:pt idx="120">
                  <c:v>48.63</c:v>
                </c:pt>
                <c:pt idx="121">
                  <c:v>49.72</c:v>
                </c:pt>
                <c:pt idx="122">
                  <c:v>50.81</c:v>
                </c:pt>
                <c:pt idx="123">
                  <c:v>51.9</c:v>
                </c:pt>
                <c:pt idx="124">
                  <c:v>53</c:v>
                </c:pt>
                <c:pt idx="125">
                  <c:v>54.09</c:v>
                </c:pt>
                <c:pt idx="126">
                  <c:v>55.18</c:v>
                </c:pt>
                <c:pt idx="127">
                  <c:v>56.27</c:v>
                </c:pt>
                <c:pt idx="128">
                  <c:v>57.37</c:v>
                </c:pt>
                <c:pt idx="129">
                  <c:v>58.46</c:v>
                </c:pt>
                <c:pt idx="130">
                  <c:v>59.55</c:v>
                </c:pt>
                <c:pt idx="131">
                  <c:v>60.65</c:v>
                </c:pt>
                <c:pt idx="132">
                  <c:v>61.74</c:v>
                </c:pt>
                <c:pt idx="133">
                  <c:v>62.83</c:v>
                </c:pt>
                <c:pt idx="134">
                  <c:v>63.92</c:v>
                </c:pt>
                <c:pt idx="135">
                  <c:v>65.02</c:v>
                </c:pt>
                <c:pt idx="136">
                  <c:v>66.11</c:v>
                </c:pt>
                <c:pt idx="137">
                  <c:v>67.2</c:v>
                </c:pt>
                <c:pt idx="138">
                  <c:v>68.290000000000006</c:v>
                </c:pt>
                <c:pt idx="139">
                  <c:v>69.39</c:v>
                </c:pt>
                <c:pt idx="140">
                  <c:v>70.48</c:v>
                </c:pt>
                <c:pt idx="141">
                  <c:v>71.569999999999993</c:v>
                </c:pt>
                <c:pt idx="142">
                  <c:v>72.67</c:v>
                </c:pt>
                <c:pt idx="143">
                  <c:v>73.760000000000005</c:v>
                </c:pt>
                <c:pt idx="144">
                  <c:v>74.849999999999994</c:v>
                </c:pt>
                <c:pt idx="145">
                  <c:v>75.94</c:v>
                </c:pt>
                <c:pt idx="146">
                  <c:v>77.040000000000006</c:v>
                </c:pt>
                <c:pt idx="147">
                  <c:v>78.13</c:v>
                </c:pt>
                <c:pt idx="148">
                  <c:v>79.22</c:v>
                </c:pt>
                <c:pt idx="149">
                  <c:v>80.31</c:v>
                </c:pt>
                <c:pt idx="150">
                  <c:v>81.41</c:v>
                </c:pt>
                <c:pt idx="151">
                  <c:v>82.5</c:v>
                </c:pt>
              </c:numCache>
            </c:numRef>
          </c:xVal>
          <c:yVal>
            <c:numRef>
              <c:f>Path_Distribution!$K$5:$K$156</c:f>
              <c:numCache>
                <c:formatCode>0.0000</c:formatCode>
                <c:ptCount val="152"/>
                <c:pt idx="0">
                  <c:v>87.691000000000003</c:v>
                </c:pt>
                <c:pt idx="1">
                  <c:v>87.692999999999998</c:v>
                </c:pt>
                <c:pt idx="2">
                  <c:v>87.694999999999993</c:v>
                </c:pt>
                <c:pt idx="3">
                  <c:v>87.697999999999993</c:v>
                </c:pt>
                <c:pt idx="4">
                  <c:v>87.7</c:v>
                </c:pt>
                <c:pt idx="5">
                  <c:v>87.701999999999998</c:v>
                </c:pt>
                <c:pt idx="6">
                  <c:v>87.703999999999994</c:v>
                </c:pt>
                <c:pt idx="7">
                  <c:v>87.706000000000003</c:v>
                </c:pt>
                <c:pt idx="8">
                  <c:v>87.686999999999998</c:v>
                </c:pt>
                <c:pt idx="9">
                  <c:v>87.646000000000001</c:v>
                </c:pt>
                <c:pt idx="10">
                  <c:v>87.605000000000004</c:v>
                </c:pt>
                <c:pt idx="11">
                  <c:v>87.563000000000002</c:v>
                </c:pt>
                <c:pt idx="12">
                  <c:v>87.522000000000006</c:v>
                </c:pt>
                <c:pt idx="13">
                  <c:v>87.480999999999995</c:v>
                </c:pt>
                <c:pt idx="14">
                  <c:v>87.44</c:v>
                </c:pt>
                <c:pt idx="15">
                  <c:v>87.388999999999996</c:v>
                </c:pt>
                <c:pt idx="16">
                  <c:v>87.617999999999995</c:v>
                </c:pt>
                <c:pt idx="17">
                  <c:v>87.847999999999999</c:v>
                </c:pt>
                <c:pt idx="18">
                  <c:v>88.078999999999994</c:v>
                </c:pt>
                <c:pt idx="19">
                  <c:v>88.311000000000007</c:v>
                </c:pt>
                <c:pt idx="20">
                  <c:v>88.545000000000002</c:v>
                </c:pt>
                <c:pt idx="21">
                  <c:v>88.778999999999996</c:v>
                </c:pt>
                <c:pt idx="22">
                  <c:v>89.013999999999996</c:v>
                </c:pt>
                <c:pt idx="23">
                  <c:v>89.831000000000003</c:v>
                </c:pt>
                <c:pt idx="24">
                  <c:v>91.366</c:v>
                </c:pt>
                <c:pt idx="25">
                  <c:v>92.903999999999996</c:v>
                </c:pt>
                <c:pt idx="26">
                  <c:v>94.442999999999998</c:v>
                </c:pt>
                <c:pt idx="27">
                  <c:v>95.983999999999995</c:v>
                </c:pt>
                <c:pt idx="28">
                  <c:v>97.527000000000001</c:v>
                </c:pt>
                <c:pt idx="29">
                  <c:v>99.070999999999998</c:v>
                </c:pt>
                <c:pt idx="30">
                  <c:v>100.62</c:v>
                </c:pt>
                <c:pt idx="31">
                  <c:v>101.3</c:v>
                </c:pt>
                <c:pt idx="32">
                  <c:v>101.93</c:v>
                </c:pt>
                <c:pt idx="33">
                  <c:v>102.57</c:v>
                </c:pt>
                <c:pt idx="34">
                  <c:v>103.23</c:v>
                </c:pt>
                <c:pt idx="35">
                  <c:v>103.9</c:v>
                </c:pt>
                <c:pt idx="36">
                  <c:v>104.58</c:v>
                </c:pt>
                <c:pt idx="37">
                  <c:v>105.92</c:v>
                </c:pt>
                <c:pt idx="38">
                  <c:v>107.74</c:v>
                </c:pt>
                <c:pt idx="39">
                  <c:v>109.56</c:v>
                </c:pt>
                <c:pt idx="40">
                  <c:v>111.38</c:v>
                </c:pt>
                <c:pt idx="41">
                  <c:v>113.2</c:v>
                </c:pt>
                <c:pt idx="42">
                  <c:v>115.03</c:v>
                </c:pt>
                <c:pt idx="43">
                  <c:v>116.81</c:v>
                </c:pt>
                <c:pt idx="44">
                  <c:v>118.22</c:v>
                </c:pt>
                <c:pt idx="45">
                  <c:v>119.64</c:v>
                </c:pt>
                <c:pt idx="46">
                  <c:v>121.06</c:v>
                </c:pt>
                <c:pt idx="47">
                  <c:v>122.48</c:v>
                </c:pt>
                <c:pt idx="48">
                  <c:v>123.9</c:v>
                </c:pt>
                <c:pt idx="49">
                  <c:v>125.32</c:v>
                </c:pt>
                <c:pt idx="50">
                  <c:v>126.13</c:v>
                </c:pt>
                <c:pt idx="51">
                  <c:v>126.49</c:v>
                </c:pt>
                <c:pt idx="52">
                  <c:v>126.85</c:v>
                </c:pt>
                <c:pt idx="53">
                  <c:v>127.21</c:v>
                </c:pt>
                <c:pt idx="54">
                  <c:v>127.57</c:v>
                </c:pt>
                <c:pt idx="55">
                  <c:v>127.93</c:v>
                </c:pt>
                <c:pt idx="56">
                  <c:v>128.30000000000001</c:v>
                </c:pt>
                <c:pt idx="57">
                  <c:v>128.6</c:v>
                </c:pt>
                <c:pt idx="58">
                  <c:v>128.55000000000001</c:v>
                </c:pt>
                <c:pt idx="59">
                  <c:v>128.49</c:v>
                </c:pt>
                <c:pt idx="60">
                  <c:v>128.44</c:v>
                </c:pt>
                <c:pt idx="61">
                  <c:v>128.38</c:v>
                </c:pt>
                <c:pt idx="62">
                  <c:v>128.33000000000001</c:v>
                </c:pt>
                <c:pt idx="63">
                  <c:v>128.27000000000001</c:v>
                </c:pt>
                <c:pt idx="64">
                  <c:v>128.22</c:v>
                </c:pt>
                <c:pt idx="65">
                  <c:v>128.19999999999999</c:v>
                </c:pt>
                <c:pt idx="66">
                  <c:v>128.19999999999999</c:v>
                </c:pt>
                <c:pt idx="67">
                  <c:v>128.19999999999999</c:v>
                </c:pt>
                <c:pt idx="68">
                  <c:v>128.19999999999999</c:v>
                </c:pt>
                <c:pt idx="69">
                  <c:v>128.21</c:v>
                </c:pt>
                <c:pt idx="70">
                  <c:v>128.21</c:v>
                </c:pt>
                <c:pt idx="71">
                  <c:v>128.21</c:v>
                </c:pt>
                <c:pt idx="72">
                  <c:v>128.21</c:v>
                </c:pt>
                <c:pt idx="73">
                  <c:v>128.21</c:v>
                </c:pt>
                <c:pt idx="74">
                  <c:v>128.21</c:v>
                </c:pt>
                <c:pt idx="75">
                  <c:v>128.21</c:v>
                </c:pt>
                <c:pt idx="76">
                  <c:v>128.21</c:v>
                </c:pt>
                <c:pt idx="77">
                  <c:v>128.21</c:v>
                </c:pt>
                <c:pt idx="78">
                  <c:v>128.21</c:v>
                </c:pt>
                <c:pt idx="79">
                  <c:v>128.21</c:v>
                </c:pt>
                <c:pt idx="80">
                  <c:v>128.21</c:v>
                </c:pt>
                <c:pt idx="81">
                  <c:v>128.21</c:v>
                </c:pt>
                <c:pt idx="82">
                  <c:v>128.21</c:v>
                </c:pt>
                <c:pt idx="83">
                  <c:v>128.19999999999999</c:v>
                </c:pt>
                <c:pt idx="84">
                  <c:v>128.19999999999999</c:v>
                </c:pt>
                <c:pt idx="85">
                  <c:v>128.19999999999999</c:v>
                </c:pt>
                <c:pt idx="86">
                  <c:v>128.19999999999999</c:v>
                </c:pt>
                <c:pt idx="87">
                  <c:v>128.22</c:v>
                </c:pt>
                <c:pt idx="88">
                  <c:v>128.27000000000001</c:v>
                </c:pt>
                <c:pt idx="89">
                  <c:v>128.33000000000001</c:v>
                </c:pt>
                <c:pt idx="90">
                  <c:v>128.38999999999999</c:v>
                </c:pt>
                <c:pt idx="91">
                  <c:v>128.44</c:v>
                </c:pt>
                <c:pt idx="92">
                  <c:v>128.5</c:v>
                </c:pt>
                <c:pt idx="93">
                  <c:v>128.55000000000001</c:v>
                </c:pt>
                <c:pt idx="94">
                  <c:v>128.61000000000001</c:v>
                </c:pt>
                <c:pt idx="95">
                  <c:v>128.30000000000001</c:v>
                </c:pt>
                <c:pt idx="96">
                  <c:v>127.93</c:v>
                </c:pt>
                <c:pt idx="97">
                  <c:v>127.57</c:v>
                </c:pt>
                <c:pt idx="98">
                  <c:v>127.21</c:v>
                </c:pt>
                <c:pt idx="99">
                  <c:v>126.85</c:v>
                </c:pt>
                <c:pt idx="100">
                  <c:v>126.49</c:v>
                </c:pt>
                <c:pt idx="101">
                  <c:v>126.13</c:v>
                </c:pt>
                <c:pt idx="102">
                  <c:v>125.33</c:v>
                </c:pt>
                <c:pt idx="103">
                  <c:v>123.9</c:v>
                </c:pt>
                <c:pt idx="104">
                  <c:v>122.48</c:v>
                </c:pt>
                <c:pt idx="105">
                  <c:v>121.07</c:v>
                </c:pt>
                <c:pt idx="106">
                  <c:v>119.65</c:v>
                </c:pt>
                <c:pt idx="107">
                  <c:v>118.23</c:v>
                </c:pt>
                <c:pt idx="108">
                  <c:v>116.82</c:v>
                </c:pt>
                <c:pt idx="109">
                  <c:v>115.04</c:v>
                </c:pt>
                <c:pt idx="110">
                  <c:v>113.22</c:v>
                </c:pt>
                <c:pt idx="111">
                  <c:v>111.39</c:v>
                </c:pt>
                <c:pt idx="112">
                  <c:v>109.57</c:v>
                </c:pt>
                <c:pt idx="113">
                  <c:v>107.75</c:v>
                </c:pt>
                <c:pt idx="114">
                  <c:v>105.94</c:v>
                </c:pt>
                <c:pt idx="115">
                  <c:v>104.6</c:v>
                </c:pt>
                <c:pt idx="116">
                  <c:v>103.92</c:v>
                </c:pt>
                <c:pt idx="117">
                  <c:v>103.26</c:v>
                </c:pt>
                <c:pt idx="118">
                  <c:v>102.61</c:v>
                </c:pt>
                <c:pt idx="119">
                  <c:v>101.97</c:v>
                </c:pt>
                <c:pt idx="120">
                  <c:v>101.34</c:v>
                </c:pt>
                <c:pt idx="121">
                  <c:v>100.66</c:v>
                </c:pt>
                <c:pt idx="122">
                  <c:v>99.123999999999995</c:v>
                </c:pt>
                <c:pt idx="123">
                  <c:v>97.584999999999994</c:v>
                </c:pt>
                <c:pt idx="124">
                  <c:v>96.046999999999997</c:v>
                </c:pt>
                <c:pt idx="125">
                  <c:v>94.512</c:v>
                </c:pt>
                <c:pt idx="126">
                  <c:v>92.977999999999994</c:v>
                </c:pt>
                <c:pt idx="127">
                  <c:v>91.445999999999998</c:v>
                </c:pt>
                <c:pt idx="128">
                  <c:v>89.915999999999997</c:v>
                </c:pt>
                <c:pt idx="129">
                  <c:v>89.165000000000006</c:v>
                </c:pt>
                <c:pt idx="130">
                  <c:v>89.043000000000006</c:v>
                </c:pt>
                <c:pt idx="131">
                  <c:v>88.921999999999997</c:v>
                </c:pt>
                <c:pt idx="132">
                  <c:v>88.802000000000007</c:v>
                </c:pt>
                <c:pt idx="133">
                  <c:v>88.682000000000002</c:v>
                </c:pt>
                <c:pt idx="134">
                  <c:v>88.563999999999993</c:v>
                </c:pt>
                <c:pt idx="135">
                  <c:v>88.445999999999998</c:v>
                </c:pt>
                <c:pt idx="136">
                  <c:v>88.338999999999999</c:v>
                </c:pt>
                <c:pt idx="137">
                  <c:v>88.536000000000001</c:v>
                </c:pt>
                <c:pt idx="138">
                  <c:v>88.733999999999995</c:v>
                </c:pt>
                <c:pt idx="139">
                  <c:v>88.932000000000002</c:v>
                </c:pt>
                <c:pt idx="140">
                  <c:v>89.131</c:v>
                </c:pt>
                <c:pt idx="141">
                  <c:v>89.33</c:v>
                </c:pt>
                <c:pt idx="142">
                  <c:v>89.53</c:v>
                </c:pt>
                <c:pt idx="143">
                  <c:v>89.730999999999995</c:v>
                </c:pt>
                <c:pt idx="144">
                  <c:v>88.704999999999998</c:v>
                </c:pt>
                <c:pt idx="145">
                  <c:v>86.542000000000002</c:v>
                </c:pt>
                <c:pt idx="146">
                  <c:v>84.387</c:v>
                </c:pt>
                <c:pt idx="147">
                  <c:v>82.241</c:v>
                </c:pt>
                <c:pt idx="148">
                  <c:v>80.102999999999994</c:v>
                </c:pt>
                <c:pt idx="149">
                  <c:v>77.974999999999994</c:v>
                </c:pt>
                <c:pt idx="150">
                  <c:v>75.858999999999995</c:v>
                </c:pt>
                <c:pt idx="151">
                  <c:v>73.754000000000005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FE-4074-9DCE-8DAEFACB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MPa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Mesh convergence - max stress vs nodes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Max stress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Mesh_Convergence!$B$5:$B$11</c:f>
              <c:numCache>
                <c:formatCode>General</c:formatCode>
                <c:ptCount val="7"/>
                <c:pt idx="0">
                  <c:v>564</c:v>
                </c:pt>
                <c:pt idx="1">
                  <c:v>1013</c:v>
                </c:pt>
                <c:pt idx="2">
                  <c:v>1828</c:v>
                </c:pt>
                <c:pt idx="3">
                  <c:v>3116</c:v>
                </c:pt>
                <c:pt idx="4">
                  <c:v>10115</c:v>
                </c:pt>
                <c:pt idx="5">
                  <c:v>17021</c:v>
                </c:pt>
                <c:pt idx="6">
                  <c:v>49648</c:v>
                </c:pt>
              </c:numCache>
            </c:numRef>
          </c:xVal>
          <c:yVal>
            <c:numRef>
              <c:f>Mesh_Convergence!$F$5:$F$11</c:f>
              <c:numCache>
                <c:formatCode>0.00</c:formatCode>
                <c:ptCount val="7"/>
                <c:pt idx="0">
                  <c:v>131.7653151213236</c:v>
                </c:pt>
                <c:pt idx="1">
                  <c:v>132.53285568567179</c:v>
                </c:pt>
                <c:pt idx="2">
                  <c:v>133.99294972499479</c:v>
                </c:pt>
                <c:pt idx="3">
                  <c:v>134.4634085339965</c:v>
                </c:pt>
                <c:pt idx="4">
                  <c:v>134.5974875815474</c:v>
                </c:pt>
                <c:pt idx="5">
                  <c:v>135.40679151967001</c:v>
                </c:pt>
                <c:pt idx="6">
                  <c:v>155.92370134728611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A6-437B-A277-E9A459828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Nodes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MPa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35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4" x14ac:dyDescent="0.3"/>
  <cols>
    <col min="1" max="1" width="22" customWidth="1"/>
    <col min="2" max="2" width="90" customWidth="1"/>
  </cols>
  <sheetData>
    <row r="1" spans="1:2" ht="17.399999999999999" x14ac:dyDescent="0.3">
      <c r="A1" s="1" t="s">
        <v>0</v>
      </c>
      <c r="B1" s="2"/>
    </row>
    <row r="2" spans="1:2" x14ac:dyDescent="0.3">
      <c r="A2" s="3" t="s">
        <v>1</v>
      </c>
      <c r="B2" s="2"/>
    </row>
    <row r="3" spans="1:2" x14ac:dyDescent="0.3">
      <c r="A3" s="2"/>
      <c r="B3" s="2"/>
    </row>
    <row r="4" spans="1:2" x14ac:dyDescent="0.3">
      <c r="A4" s="4" t="s">
        <v>2</v>
      </c>
      <c r="B4" s="5"/>
    </row>
    <row r="5" spans="1:2" x14ac:dyDescent="0.3">
      <c r="A5" s="4" t="s">
        <v>3</v>
      </c>
      <c r="B5" s="5" t="s">
        <v>4</v>
      </c>
    </row>
    <row r="6" spans="1:2" x14ac:dyDescent="0.3">
      <c r="A6" s="4" t="s">
        <v>5</v>
      </c>
      <c r="B6" s="5" t="s">
        <v>6</v>
      </c>
    </row>
    <row r="7" spans="1:2" x14ac:dyDescent="0.3">
      <c r="A7" s="4" t="s">
        <v>7</v>
      </c>
      <c r="B7" s="5" t="s">
        <v>8</v>
      </c>
    </row>
    <row r="8" spans="1:2" x14ac:dyDescent="0.3">
      <c r="A8" s="4" t="s">
        <v>9</v>
      </c>
      <c r="B8" s="5" t="s">
        <v>10</v>
      </c>
    </row>
    <row r="9" spans="1:2" x14ac:dyDescent="0.3">
      <c r="A9" s="4" t="s">
        <v>11</v>
      </c>
      <c r="B9" s="5" t="s">
        <v>12</v>
      </c>
    </row>
    <row r="10" spans="1:2" x14ac:dyDescent="0.3">
      <c r="A10" s="4" t="s">
        <v>13</v>
      </c>
      <c r="B10" s="5" t="s">
        <v>14</v>
      </c>
    </row>
    <row r="11" spans="1:2" x14ac:dyDescent="0.3">
      <c r="A11" s="4"/>
      <c r="B11" s="5"/>
    </row>
    <row r="12" spans="1:2" x14ac:dyDescent="0.3">
      <c r="A12" s="4" t="s">
        <v>15</v>
      </c>
      <c r="B12" s="5"/>
    </row>
    <row r="13" spans="1:2" x14ac:dyDescent="0.3">
      <c r="A13" s="4" t="s">
        <v>16</v>
      </c>
      <c r="B13" s="5" t="s">
        <v>17</v>
      </c>
    </row>
    <row r="14" spans="1:2" x14ac:dyDescent="0.3">
      <c r="A14" s="4" t="s">
        <v>18</v>
      </c>
      <c r="B14" s="5" t="s">
        <v>19</v>
      </c>
    </row>
    <row r="15" spans="1:2" x14ac:dyDescent="0.3">
      <c r="A15" s="4"/>
      <c r="B15" s="5"/>
    </row>
    <row r="16" spans="1:2" x14ac:dyDescent="0.3">
      <c r="A16" s="4" t="s">
        <v>20</v>
      </c>
      <c r="B16" s="5" t="s">
        <v>21</v>
      </c>
    </row>
    <row r="17" spans="1:2" x14ac:dyDescent="0.3">
      <c r="A17" s="4" t="s">
        <v>22</v>
      </c>
      <c r="B17" s="5" t="s">
        <v>23</v>
      </c>
    </row>
    <row r="18" spans="1:2" x14ac:dyDescent="0.3">
      <c r="A18" s="4" t="s">
        <v>24</v>
      </c>
      <c r="B18" s="5" t="s">
        <v>25</v>
      </c>
    </row>
    <row r="19" spans="1:2" x14ac:dyDescent="0.3">
      <c r="A19" s="4" t="s">
        <v>26</v>
      </c>
      <c r="B19" s="5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/>
  </sheetViews>
  <sheetFormatPr defaultRowHeight="14.4" x14ac:dyDescent="0.3"/>
  <cols>
    <col min="1" max="1" width="34" customWidth="1"/>
    <col min="2" max="2" width="16" customWidth="1"/>
    <col min="3" max="3" width="14" customWidth="1"/>
    <col min="4" max="5" width="16" customWidth="1"/>
    <col min="6" max="6" width="18" customWidth="1"/>
    <col min="7" max="7" width="20" customWidth="1"/>
    <col min="8" max="8" width="26" customWidth="1"/>
  </cols>
  <sheetData>
    <row r="1" spans="1:8" ht="17.399999999999999" x14ac:dyDescent="0.3">
      <c r="A1" s="1" t="s">
        <v>28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29</v>
      </c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6" t="s">
        <v>30</v>
      </c>
      <c r="B4" s="6" t="s">
        <v>31</v>
      </c>
      <c r="C4" s="2"/>
      <c r="D4" s="2"/>
      <c r="E4" s="2"/>
      <c r="F4" s="2"/>
      <c r="G4" s="2"/>
      <c r="H4" s="2"/>
    </row>
    <row r="5" spans="1:8" x14ac:dyDescent="0.3">
      <c r="A5" s="5" t="s">
        <v>32</v>
      </c>
      <c r="B5" s="7">
        <v>5000</v>
      </c>
      <c r="C5" s="2"/>
      <c r="D5" s="2"/>
      <c r="E5" s="2"/>
      <c r="F5" s="2"/>
      <c r="G5" s="2"/>
      <c r="H5" s="2"/>
    </row>
    <row r="6" spans="1:8" x14ac:dyDescent="0.3">
      <c r="A6" s="5" t="s">
        <v>33</v>
      </c>
      <c r="B6" s="7">
        <v>13</v>
      </c>
      <c r="C6" s="2"/>
      <c r="D6" s="2"/>
      <c r="E6" s="2"/>
      <c r="F6" s="2"/>
      <c r="G6" s="2"/>
      <c r="H6" s="2"/>
    </row>
    <row r="7" spans="1:8" x14ac:dyDescent="0.3">
      <c r="A7" s="5" t="s">
        <v>34</v>
      </c>
      <c r="B7" s="7">
        <v>3</v>
      </c>
      <c r="C7" s="2"/>
      <c r="D7" s="2"/>
      <c r="E7" s="2"/>
      <c r="F7" s="2"/>
      <c r="G7" s="2"/>
      <c r="H7" s="2"/>
    </row>
    <row r="8" spans="1:8" x14ac:dyDescent="0.3">
      <c r="A8" s="5" t="s">
        <v>35</v>
      </c>
      <c r="B8" s="7">
        <v>19</v>
      </c>
      <c r="C8" s="2"/>
      <c r="D8" s="2"/>
      <c r="E8" s="2"/>
      <c r="F8" s="2"/>
      <c r="G8" s="2"/>
      <c r="H8" s="2"/>
    </row>
    <row r="9" spans="1:8" x14ac:dyDescent="0.3">
      <c r="A9" s="5" t="s">
        <v>36</v>
      </c>
      <c r="B9" s="7">
        <v>165</v>
      </c>
      <c r="C9" s="2"/>
      <c r="D9" s="2"/>
      <c r="E9" s="2"/>
      <c r="F9" s="2"/>
      <c r="G9" s="2"/>
      <c r="H9" s="2"/>
    </row>
    <row r="10" spans="1:8" x14ac:dyDescent="0.3">
      <c r="A10" s="5" t="s">
        <v>37</v>
      </c>
      <c r="B10" s="7">
        <v>57</v>
      </c>
      <c r="C10" s="2"/>
      <c r="D10" s="2"/>
      <c r="E10" s="2"/>
      <c r="F10" s="2"/>
      <c r="G10" s="2"/>
      <c r="H10" s="2"/>
    </row>
    <row r="11" spans="1:8" x14ac:dyDescent="0.3">
      <c r="A11" s="5" t="s">
        <v>38</v>
      </c>
      <c r="B11" s="7">
        <v>65.709999999999994</v>
      </c>
      <c r="C11" s="2"/>
      <c r="D11" s="2"/>
      <c r="E11" s="2"/>
      <c r="F11" s="2"/>
      <c r="G11" s="2"/>
      <c r="H11" s="2"/>
    </row>
    <row r="12" spans="1:8" x14ac:dyDescent="0.3">
      <c r="A12" s="5" t="s">
        <v>39</v>
      </c>
      <c r="B12" s="7">
        <v>42.2</v>
      </c>
      <c r="C12" s="2"/>
      <c r="D12" s="2"/>
      <c r="E12" s="2"/>
      <c r="F12" s="2"/>
      <c r="G12" s="2"/>
      <c r="H12" s="2"/>
    </row>
    <row r="13" spans="1:8" x14ac:dyDescent="0.3">
      <c r="A13" s="5" t="s">
        <v>40</v>
      </c>
      <c r="B13" s="7">
        <v>16</v>
      </c>
      <c r="C13" s="2"/>
      <c r="D13" s="2"/>
      <c r="E13" s="2"/>
      <c r="F13" s="2"/>
      <c r="G13" s="2"/>
      <c r="H13" s="2"/>
    </row>
    <row r="14" spans="1:8" x14ac:dyDescent="0.3">
      <c r="A14" s="4" t="s">
        <v>41</v>
      </c>
      <c r="B14" s="2">
        <f>B6*B7</f>
        <v>39</v>
      </c>
      <c r="C14" s="2"/>
      <c r="D14" s="2"/>
      <c r="E14" s="2"/>
      <c r="F14" s="2"/>
      <c r="G14" s="2"/>
      <c r="H14" s="2"/>
    </row>
    <row r="15" spans="1:8" x14ac:dyDescent="0.3">
      <c r="A15" s="4" t="s">
        <v>42</v>
      </c>
      <c r="B15" s="2">
        <f>B8*B7</f>
        <v>57</v>
      </c>
      <c r="C15" s="2"/>
      <c r="D15" s="2"/>
      <c r="E15" s="2"/>
      <c r="F15" s="2"/>
      <c r="G15" s="2"/>
      <c r="H15" s="2"/>
    </row>
    <row r="16" spans="1:8" x14ac:dyDescent="0.3">
      <c r="A16" s="4" t="s">
        <v>43</v>
      </c>
      <c r="B16" s="2">
        <f>B13*B7</f>
        <v>48</v>
      </c>
      <c r="C16" s="2"/>
      <c r="D16" s="2"/>
      <c r="E16" s="2"/>
      <c r="F16" s="2"/>
      <c r="G16" s="2"/>
      <c r="H16" s="2"/>
    </row>
    <row r="17" spans="1:8" x14ac:dyDescent="0.3">
      <c r="A17" s="4" t="s">
        <v>44</v>
      </c>
      <c r="B17" s="2">
        <f>B11/B15+B12/B16+B10/B14</f>
        <v>3.4935121457489879</v>
      </c>
      <c r="C17" s="2"/>
      <c r="D17" s="2"/>
      <c r="E17" s="2"/>
      <c r="F17" s="2"/>
      <c r="G17" s="2"/>
      <c r="H17" s="2"/>
    </row>
    <row r="18" spans="1:8" x14ac:dyDescent="0.3">
      <c r="A18" s="4" t="s">
        <v>45</v>
      </c>
      <c r="B18" s="2">
        <f>B5/B14</f>
        <v>128.2051282051282</v>
      </c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ht="41.4" x14ac:dyDescent="0.3">
      <c r="A21" s="6" t="s">
        <v>46</v>
      </c>
      <c r="B21" s="6" t="s">
        <v>47</v>
      </c>
      <c r="C21" s="6" t="s">
        <v>48</v>
      </c>
      <c r="D21" s="6" t="s">
        <v>49</v>
      </c>
      <c r="E21" s="6" t="s">
        <v>50</v>
      </c>
      <c r="F21" s="6" t="s">
        <v>51</v>
      </c>
      <c r="G21" s="6" t="s">
        <v>52</v>
      </c>
      <c r="H21" s="6" t="s">
        <v>53</v>
      </c>
    </row>
    <row r="22" spans="1:8" x14ac:dyDescent="0.3">
      <c r="A22" s="8" t="s">
        <v>54</v>
      </c>
      <c r="B22" s="9">
        <v>200</v>
      </c>
      <c r="C22" s="9">
        <v>0.3</v>
      </c>
      <c r="D22" s="9">
        <v>7850</v>
      </c>
      <c r="E22" s="9">
        <v>250</v>
      </c>
      <c r="F22" s="9">
        <v>460</v>
      </c>
      <c r="G22" s="9">
        <v>250</v>
      </c>
      <c r="H22" s="8" t="s">
        <v>55</v>
      </c>
    </row>
    <row r="23" spans="1:8" x14ac:dyDescent="0.3">
      <c r="A23" s="8" t="s">
        <v>56</v>
      </c>
      <c r="B23" s="9">
        <v>71</v>
      </c>
      <c r="C23" s="9">
        <v>0.33</v>
      </c>
      <c r="D23" s="9">
        <v>2770</v>
      </c>
      <c r="E23" s="9">
        <v>280</v>
      </c>
      <c r="F23" s="9">
        <v>310</v>
      </c>
      <c r="G23" s="9">
        <v>280</v>
      </c>
      <c r="H23" s="8" t="s">
        <v>55</v>
      </c>
    </row>
    <row r="24" spans="1:8" x14ac:dyDescent="0.3">
      <c r="A24" s="8" t="s">
        <v>57</v>
      </c>
      <c r="B24" s="9">
        <v>1.1000000000000001</v>
      </c>
      <c r="C24" s="9">
        <v>0.42</v>
      </c>
      <c r="D24" s="9">
        <v>950</v>
      </c>
      <c r="E24" s="9">
        <v>25</v>
      </c>
      <c r="F24" s="9">
        <v>33</v>
      </c>
      <c r="G24" s="9">
        <v>25</v>
      </c>
      <c r="H24" s="8" t="s">
        <v>55</v>
      </c>
    </row>
    <row r="25" spans="1:8" x14ac:dyDescent="0.3">
      <c r="A25" s="8" t="s">
        <v>58</v>
      </c>
      <c r="B25" s="9">
        <v>30</v>
      </c>
      <c r="C25" s="9">
        <v>0.18</v>
      </c>
      <c r="D25" s="9">
        <v>2300</v>
      </c>
      <c r="E25" s="9" t="s">
        <v>59</v>
      </c>
      <c r="F25" s="9">
        <v>5</v>
      </c>
      <c r="G25" s="9">
        <v>5</v>
      </c>
      <c r="H25" s="8" t="s">
        <v>60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/>
  </sheetViews>
  <sheetFormatPr defaultRowHeight="14.4" x14ac:dyDescent="0.3"/>
  <cols>
    <col min="1" max="1" width="20" customWidth="1"/>
    <col min="2" max="15" width="15" customWidth="1"/>
  </cols>
  <sheetData>
    <row r="1" spans="1:15" ht="17.399999999999999" x14ac:dyDescent="0.3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45" customHeight="1" x14ac:dyDescent="0.3">
      <c r="A4" s="6" t="s">
        <v>46</v>
      </c>
      <c r="B4" s="6" t="s">
        <v>63</v>
      </c>
      <c r="C4" s="6" t="s">
        <v>64</v>
      </c>
      <c r="D4" s="6" t="s">
        <v>65</v>
      </c>
      <c r="E4" s="6" t="s">
        <v>66</v>
      </c>
      <c r="F4" s="6" t="s">
        <v>67</v>
      </c>
      <c r="G4" s="6" t="s">
        <v>68</v>
      </c>
      <c r="H4" s="6" t="s">
        <v>69</v>
      </c>
      <c r="I4" s="6" t="s">
        <v>70</v>
      </c>
      <c r="J4" s="6" t="s">
        <v>71</v>
      </c>
      <c r="K4" s="6" t="s">
        <v>72</v>
      </c>
      <c r="L4" s="6" t="s">
        <v>73</v>
      </c>
      <c r="M4" s="6" t="s">
        <v>74</v>
      </c>
      <c r="N4" s="6" t="s">
        <v>75</v>
      </c>
      <c r="O4" s="6" t="s">
        <v>76</v>
      </c>
    </row>
    <row r="5" spans="1:15" x14ac:dyDescent="0.3">
      <c r="A5" s="4" t="s">
        <v>54</v>
      </c>
      <c r="B5" s="10">
        <v>8.9396094040916169E-2</v>
      </c>
      <c r="C5" s="10">
        <v>0</v>
      </c>
      <c r="D5" s="10">
        <v>4.464407838398142E-2</v>
      </c>
      <c r="E5" s="11">
        <v>6.5882655713510937E-4</v>
      </c>
      <c r="F5" s="11">
        <v>3.2668732395294648E-4</v>
      </c>
      <c r="G5" s="11">
        <v>5.3750185377134563E-4</v>
      </c>
      <c r="H5" s="12">
        <v>131.7653151213236</v>
      </c>
      <c r="I5" s="12">
        <v>65.337464104835774</v>
      </c>
      <c r="J5" s="12">
        <v>107.5003709885692</v>
      </c>
      <c r="K5" s="10">
        <v>-8.9387178421020508E-2</v>
      </c>
      <c r="L5" s="12">
        <v>131.9311599731445</v>
      </c>
      <c r="M5" s="12">
        <v>5000.0000000004638</v>
      </c>
      <c r="N5" s="12">
        <v>564</v>
      </c>
      <c r="O5" s="12">
        <v>63</v>
      </c>
    </row>
    <row r="6" spans="1:15" x14ac:dyDescent="0.3">
      <c r="A6" s="4" t="s">
        <v>56</v>
      </c>
      <c r="B6" s="10">
        <v>0.25173241220181958</v>
      </c>
      <c r="C6" s="10">
        <v>0</v>
      </c>
      <c r="D6" s="10">
        <v>0.12568078807624869</v>
      </c>
      <c r="E6" s="11">
        <v>1.8557756825672211E-3</v>
      </c>
      <c r="F6" s="11">
        <v>8.9117426402963063E-4</v>
      </c>
      <c r="G6" s="11">
        <v>1.5138876726445E-3</v>
      </c>
      <c r="H6" s="12">
        <v>131.7600715873962</v>
      </c>
      <c r="I6" s="12">
        <v>63.273372253448763</v>
      </c>
      <c r="J6" s="12">
        <v>107.48602425678079</v>
      </c>
      <c r="K6" s="10">
        <v>-0.25170218944549561</v>
      </c>
      <c r="L6" s="12">
        <v>131.93925476074219</v>
      </c>
      <c r="M6" s="12">
        <v>5000.0000000002256</v>
      </c>
      <c r="N6" s="12">
        <v>564</v>
      </c>
      <c r="O6" s="12">
        <v>63</v>
      </c>
    </row>
    <row r="7" spans="1:15" x14ac:dyDescent="0.3">
      <c r="A7" s="4" t="s">
        <v>57</v>
      </c>
      <c r="B7" s="10">
        <v>16.227191127326378</v>
      </c>
      <c r="C7" s="10">
        <v>0</v>
      </c>
      <c r="D7" s="10">
        <v>8.093612959402007</v>
      </c>
      <c r="E7" s="11">
        <v>0.1197680325452796</v>
      </c>
      <c r="F7" s="11">
        <v>5.207293083439276E-2</v>
      </c>
      <c r="G7" s="11">
        <v>9.7692170022516622E-2</v>
      </c>
      <c r="H7" s="12">
        <v>131.74483315965369</v>
      </c>
      <c r="I7" s="12">
        <v>57.280221689582433</v>
      </c>
      <c r="J7" s="12">
        <v>107.4613870926182</v>
      </c>
      <c r="K7" s="10">
        <v>-16.22407341003418</v>
      </c>
      <c r="L7" s="12">
        <v>131.98467254638669</v>
      </c>
      <c r="M7" s="12">
        <v>4999.9999999994498</v>
      </c>
      <c r="N7" s="12">
        <v>564</v>
      </c>
      <c r="O7" s="12">
        <v>63</v>
      </c>
    </row>
    <row r="8" spans="1:15" x14ac:dyDescent="0.3">
      <c r="A8" s="4" t="s">
        <v>58</v>
      </c>
      <c r="B8" s="10">
        <v>0.59659042903191151</v>
      </c>
      <c r="C8" s="10">
        <v>0</v>
      </c>
      <c r="D8" s="10">
        <v>0.29816933680220847</v>
      </c>
      <c r="E8" s="11">
        <v>4.3929410699418241E-3</v>
      </c>
      <c r="F8" s="11">
        <v>2.3451772500856279E-3</v>
      </c>
      <c r="G8" s="11">
        <v>3.5862060189967211E-3</v>
      </c>
      <c r="H8" s="12">
        <v>131.7882298010818</v>
      </c>
      <c r="I8" s="12">
        <v>70.355320415228988</v>
      </c>
      <c r="J8" s="12">
        <v>107.5861803496198</v>
      </c>
      <c r="K8" s="10">
        <v>-0.59656929969787598</v>
      </c>
      <c r="L8" s="12">
        <v>131.912239074707</v>
      </c>
      <c r="M8" s="12">
        <v>5000.0000000001883</v>
      </c>
      <c r="N8" s="12">
        <v>564</v>
      </c>
      <c r="O8" s="12">
        <v>63</v>
      </c>
    </row>
    <row r="9" spans="1:1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A10" s="4" t="s">
        <v>77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7.6" x14ac:dyDescent="0.3">
      <c r="A11" s="6" t="s">
        <v>46</v>
      </c>
      <c r="B11" s="6" t="s">
        <v>78</v>
      </c>
      <c r="C11" s="6" t="s">
        <v>79</v>
      </c>
      <c r="D11" s="6" t="s">
        <v>80</v>
      </c>
      <c r="E11" s="6" t="s">
        <v>81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2" t="str">
        <f>A5</f>
        <v>Structural Steel</v>
      </c>
      <c r="B12" s="13">
        <f>B5/$B$5</f>
        <v>1</v>
      </c>
      <c r="C12" s="13">
        <f>E5/$E$5</f>
        <v>1</v>
      </c>
      <c r="D12" s="14">
        <f>H5/$H$5</f>
        <v>1</v>
      </c>
      <c r="E12" s="13">
        <f>Inputs!$B$22/Inputs!B22</f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 t="str">
        <f>A6</f>
        <v>Aluminum Alloy</v>
      </c>
      <c r="B13" s="13">
        <f>B6/$B$5</f>
        <v>2.8159218241302897</v>
      </c>
      <c r="C13" s="13">
        <f>E6/$E$5</f>
        <v>2.8167894303426606</v>
      </c>
      <c r="D13" s="14">
        <f>H6/$H$5</f>
        <v>0.99996020550686981</v>
      </c>
      <c r="E13" s="13">
        <f>Inputs!$B$22/Inputs!B23</f>
        <v>2.816901408450704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2" t="str">
        <f>A7</f>
        <v>Polyethylene</v>
      </c>
      <c r="B14" s="13">
        <f>B7/$B$5</f>
        <v>181.52013576677376</v>
      </c>
      <c r="C14" s="13">
        <f>E7/$E$5</f>
        <v>181.78992824164203</v>
      </c>
      <c r="D14" s="14">
        <f>H7/$H$5</f>
        <v>0.99984455725961685</v>
      </c>
      <c r="E14" s="13">
        <f>Inputs!$B$22/Inputs!B24</f>
        <v>181.81818181818181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2" t="str">
        <f>A8</f>
        <v>Concrete</v>
      </c>
      <c r="B15" s="13">
        <f>B8/$B$5</f>
        <v>6.6735625916592607</v>
      </c>
      <c r="C15" s="13">
        <f>E8/$E$5</f>
        <v>6.6678263381555496</v>
      </c>
      <c r="D15" s="14">
        <f>H8/$H$5</f>
        <v>1.0001739052476526</v>
      </c>
      <c r="E15" s="13">
        <f>Inputs!$B$22/Inputs!B25</f>
        <v>6.666666666666667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15" t="s">
        <v>82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workbookViewId="0"/>
  </sheetViews>
  <sheetFormatPr defaultRowHeight="14.4" x14ac:dyDescent="0.3"/>
  <cols>
    <col min="1" max="1" width="20" customWidth="1"/>
    <col min="2" max="14" width="14" customWidth="1"/>
  </cols>
  <sheetData>
    <row r="1" spans="1:14" ht="17.399999999999999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45" customHeight="1" x14ac:dyDescent="0.3">
      <c r="A4" s="6" t="s">
        <v>46</v>
      </c>
      <c r="B4" s="6" t="s">
        <v>85</v>
      </c>
      <c r="C4" s="6" t="s">
        <v>86</v>
      </c>
      <c r="D4" s="6" t="s">
        <v>87</v>
      </c>
      <c r="E4" s="6" t="s">
        <v>88</v>
      </c>
      <c r="F4" s="6" t="s">
        <v>89</v>
      </c>
      <c r="G4" s="6" t="s">
        <v>90</v>
      </c>
      <c r="H4" s="6" t="s">
        <v>91</v>
      </c>
      <c r="I4" s="6" t="s">
        <v>92</v>
      </c>
      <c r="J4" s="6" t="s">
        <v>93</v>
      </c>
      <c r="K4" s="6" t="s">
        <v>94</v>
      </c>
      <c r="L4" s="6" t="s">
        <v>95</v>
      </c>
      <c r="M4" s="6" t="s">
        <v>96</v>
      </c>
      <c r="N4" s="6" t="s">
        <v>97</v>
      </c>
    </row>
    <row r="5" spans="1:14" x14ac:dyDescent="0.3">
      <c r="A5" s="8" t="str">
        <f>Inputs!A22</f>
        <v>Structural Steel</v>
      </c>
      <c r="B5" s="16">
        <f>Inputs!B22*1000</f>
        <v>200000</v>
      </c>
      <c r="C5" s="17">
        <f>Inputs!$B$18</f>
        <v>128.2051282051282</v>
      </c>
      <c r="D5" s="17">
        <f>Results_FEA!H5</f>
        <v>131.7653151213236</v>
      </c>
      <c r="E5" s="18">
        <f>(D5-C5)/C5</f>
        <v>2.7769457946324055E-2</v>
      </c>
      <c r="F5" s="19">
        <f>C5/B5</f>
        <v>6.4102564102564103E-4</v>
      </c>
      <c r="G5" s="19">
        <f>Results_FEA!E5</f>
        <v>6.5882655713510937E-4</v>
      </c>
      <c r="H5" s="18">
        <f>(G5-F5)/F5</f>
        <v>2.7769429130770611E-2</v>
      </c>
      <c r="I5" s="20">
        <f>Inputs!$B$5/B5*Inputs!$B$17</f>
        <v>8.7337803643724704E-2</v>
      </c>
      <c r="J5" s="20">
        <f>Results_FEA!B5</f>
        <v>8.9396094040916169E-2</v>
      </c>
      <c r="K5" s="18">
        <f>(J5-I5)/I5</f>
        <v>2.3567004336264352E-2</v>
      </c>
      <c r="L5" s="16">
        <f>Inputs!G22</f>
        <v>250</v>
      </c>
      <c r="M5" s="17">
        <f>L5/D5</f>
        <v>1.897312655988499</v>
      </c>
      <c r="N5" s="8" t="str">
        <f>IF(M5&gt;1,"Yes","No - fails")</f>
        <v>Yes</v>
      </c>
    </row>
    <row r="6" spans="1:14" x14ac:dyDescent="0.3">
      <c r="A6" s="8" t="str">
        <f>Inputs!A23</f>
        <v>Aluminum Alloy</v>
      </c>
      <c r="B6" s="16">
        <f>Inputs!B23*1000</f>
        <v>71000</v>
      </c>
      <c r="C6" s="17">
        <f>Inputs!$B$18</f>
        <v>128.2051282051282</v>
      </c>
      <c r="D6" s="17">
        <f>Results_FEA!H6</f>
        <v>131.7600715873962</v>
      </c>
      <c r="E6" s="18">
        <f>(D6-C6)/C6</f>
        <v>2.7728558381690346E-2</v>
      </c>
      <c r="F6" s="19">
        <f>C6/B6</f>
        <v>1.8057060310581437E-3</v>
      </c>
      <c r="G6" s="19">
        <f>Results_FEA!E6</f>
        <v>1.8557756825672211E-3</v>
      </c>
      <c r="H6" s="18">
        <f>(G6-F6)/F6</f>
        <v>2.7728573005727064E-2</v>
      </c>
      <c r="I6" s="20">
        <f>Inputs!$B$5/B6*Inputs!$B$17</f>
        <v>0.24602198209499918</v>
      </c>
      <c r="J6" s="20">
        <f>Results_FEA!B6</f>
        <v>0.25173241220181958</v>
      </c>
      <c r="K6" s="18">
        <f>(J6-I6)/I6</f>
        <v>2.3211056419403089E-2</v>
      </c>
      <c r="L6" s="16">
        <f>Inputs!G23</f>
        <v>280</v>
      </c>
      <c r="M6" s="17">
        <f>L6/D6</f>
        <v>2.1250747409792998</v>
      </c>
      <c r="N6" s="8" t="str">
        <f>IF(M6&gt;1,"Yes","No - fails")</f>
        <v>Yes</v>
      </c>
    </row>
    <row r="7" spans="1:14" x14ac:dyDescent="0.3">
      <c r="A7" s="8" t="str">
        <f>Inputs!A24</f>
        <v>Polyethylene</v>
      </c>
      <c r="B7" s="16">
        <f>Inputs!B24*1000</f>
        <v>1100</v>
      </c>
      <c r="C7" s="17">
        <f>Inputs!$B$18</f>
        <v>128.2051282051282</v>
      </c>
      <c r="D7" s="17">
        <f>Results_FEA!H7</f>
        <v>131.74483315965369</v>
      </c>
      <c r="E7" s="18">
        <f>(D7-C7)/C7</f>
        <v>2.7609698645298823E-2</v>
      </c>
      <c r="F7" s="19">
        <f>C7/B7</f>
        <v>0.11655011655011654</v>
      </c>
      <c r="G7" s="19">
        <f>Results_FEA!E7</f>
        <v>0.1197680325452796</v>
      </c>
      <c r="H7" s="18">
        <f>(G7-F7)/F7</f>
        <v>2.7609719238498979E-2</v>
      </c>
      <c r="I7" s="20">
        <f>Inputs!$B$5/B7*Inputs!$B$17</f>
        <v>15.879600662495401</v>
      </c>
      <c r="J7" s="20">
        <f>Results_FEA!B7</f>
        <v>16.227191127326378</v>
      </c>
      <c r="K7" s="18">
        <f>(J7-I7)/I7</f>
        <v>2.1889118764297402E-2</v>
      </c>
      <c r="L7" s="16">
        <f>Inputs!G24</f>
        <v>25</v>
      </c>
      <c r="M7" s="17">
        <f>L7/D7</f>
        <v>0.18976076253179502</v>
      </c>
      <c r="N7" s="8" t="str">
        <f>IF(M7&gt;1,"Yes","No - fails")</f>
        <v>No - fails</v>
      </c>
    </row>
    <row r="8" spans="1:14" x14ac:dyDescent="0.3">
      <c r="A8" s="8" t="str">
        <f>Inputs!A25</f>
        <v>Concrete</v>
      </c>
      <c r="B8" s="16">
        <f>Inputs!B25*1000</f>
        <v>30000</v>
      </c>
      <c r="C8" s="17">
        <f>Inputs!$B$18</f>
        <v>128.2051282051282</v>
      </c>
      <c r="D8" s="17">
        <f>Results_FEA!H8</f>
        <v>131.7882298010818</v>
      </c>
      <c r="E8" s="18">
        <f>(D8-C8)/C8</f>
        <v>2.7948192448438026E-2</v>
      </c>
      <c r="F8" s="19">
        <f>C8/B8</f>
        <v>4.2735042735042731E-3</v>
      </c>
      <c r="G8" s="19">
        <f>Results_FEA!E8</f>
        <v>4.3929410699418241E-3</v>
      </c>
      <c r="H8" s="18">
        <f>(G8-F8)/F8</f>
        <v>2.7948210366386936E-2</v>
      </c>
      <c r="I8" s="20">
        <f>Inputs!$B$5/B8*Inputs!$B$17</f>
        <v>0.58225202429149792</v>
      </c>
      <c r="J8" s="20">
        <f>Results_FEA!B8</f>
        <v>0.59659042903191151</v>
      </c>
      <c r="K8" s="18">
        <f>(J8-I8)/I8</f>
        <v>2.4625770529284118E-2</v>
      </c>
      <c r="L8" s="16">
        <f>Inputs!G25</f>
        <v>5</v>
      </c>
      <c r="M8" s="17">
        <f>L8/D8</f>
        <v>3.7939655214634022E-2</v>
      </c>
      <c r="N8" s="8" t="str">
        <f>IF(M8&gt;1,"Yes","No - fails")</f>
        <v>No - fails</v>
      </c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15" t="s">
        <v>98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3" width="14" customWidth="1"/>
  </cols>
  <sheetData>
    <row r="1" spans="1:13" ht="17.399999999999999" x14ac:dyDescent="0.3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45" customHeight="1" x14ac:dyDescent="0.3">
      <c r="A4" s="6" t="s">
        <v>101</v>
      </c>
      <c r="B4" s="6" t="s">
        <v>102</v>
      </c>
      <c r="C4" s="6" t="s">
        <v>103</v>
      </c>
      <c r="D4" s="6" t="s">
        <v>104</v>
      </c>
      <c r="E4" s="6" t="s">
        <v>105</v>
      </c>
      <c r="F4" s="6" t="s">
        <v>106</v>
      </c>
      <c r="G4" s="6" t="s">
        <v>107</v>
      </c>
      <c r="H4" s="6" t="s">
        <v>108</v>
      </c>
      <c r="I4" s="6" t="s">
        <v>109</v>
      </c>
      <c r="J4" s="6" t="s">
        <v>110</v>
      </c>
      <c r="K4" s="6" t="s">
        <v>111</v>
      </c>
      <c r="L4" s="6" t="s">
        <v>112</v>
      </c>
      <c r="M4" s="6" t="s">
        <v>113</v>
      </c>
    </row>
    <row r="5" spans="1:13" x14ac:dyDescent="0.3">
      <c r="A5" s="2">
        <v>-82.5</v>
      </c>
      <c r="B5" s="21">
        <v>87.691999999999993</v>
      </c>
      <c r="C5" s="22">
        <v>4.3846E-4</v>
      </c>
      <c r="D5" s="21">
        <v>8.9386999999999994E-2</v>
      </c>
      <c r="E5" s="21">
        <v>87.691999999999993</v>
      </c>
      <c r="F5" s="22">
        <v>1.2351E-3</v>
      </c>
      <c r="G5" s="21">
        <v>0.25169999999999998</v>
      </c>
      <c r="H5" s="21">
        <v>87.694000000000003</v>
      </c>
      <c r="I5" s="22">
        <v>7.9722000000000001E-2</v>
      </c>
      <c r="J5" s="21">
        <v>16.224</v>
      </c>
      <c r="K5" s="21">
        <v>87.691000000000003</v>
      </c>
      <c r="L5" s="22">
        <v>2.9229999999999998E-3</v>
      </c>
      <c r="M5" s="21">
        <v>0.59657000000000004</v>
      </c>
    </row>
    <row r="6" spans="1:13" x14ac:dyDescent="0.3">
      <c r="A6" s="2">
        <v>-81.407300000000006</v>
      </c>
      <c r="B6" s="21">
        <v>87.694000000000003</v>
      </c>
      <c r="C6" s="22">
        <v>4.3846999999999999E-4</v>
      </c>
      <c r="D6" s="21">
        <v>8.8907E-2</v>
      </c>
      <c r="E6" s="21">
        <v>87.694999999999993</v>
      </c>
      <c r="F6" s="22">
        <v>1.2351E-3</v>
      </c>
      <c r="G6" s="21">
        <v>0.25035000000000002</v>
      </c>
      <c r="H6" s="21">
        <v>87.697000000000003</v>
      </c>
      <c r="I6" s="22">
        <v>7.9725000000000004E-2</v>
      </c>
      <c r="J6" s="21">
        <v>16.137</v>
      </c>
      <c r="K6" s="21">
        <v>87.692999999999998</v>
      </c>
      <c r="L6" s="22">
        <v>2.9231000000000001E-3</v>
      </c>
      <c r="M6" s="21">
        <v>0.59336999999999995</v>
      </c>
    </row>
    <row r="7" spans="1:13" x14ac:dyDescent="0.3">
      <c r="A7" s="2">
        <v>-80.314599999999999</v>
      </c>
      <c r="B7" s="21">
        <v>87.697000000000003</v>
      </c>
      <c r="C7" s="22">
        <v>4.3847999999999999E-4</v>
      </c>
      <c r="D7" s="21">
        <v>8.8428000000000007E-2</v>
      </c>
      <c r="E7" s="21">
        <v>87.697000000000003</v>
      </c>
      <c r="F7" s="22">
        <v>1.2352000000000001E-3</v>
      </c>
      <c r="G7" s="21">
        <v>0.249</v>
      </c>
      <c r="H7" s="21">
        <v>87.7</v>
      </c>
      <c r="I7" s="22">
        <v>7.9727999999999993E-2</v>
      </c>
      <c r="J7" s="21">
        <v>16.05</v>
      </c>
      <c r="K7" s="21">
        <v>87.694999999999993</v>
      </c>
      <c r="L7" s="22">
        <v>2.9231999999999999E-3</v>
      </c>
      <c r="M7" s="21">
        <v>0.59018000000000004</v>
      </c>
    </row>
    <row r="8" spans="1:13" x14ac:dyDescent="0.3">
      <c r="A8" s="2">
        <v>-79.221900000000005</v>
      </c>
      <c r="B8" s="21">
        <v>87.698999999999998</v>
      </c>
      <c r="C8" s="22">
        <v>4.3849999999999998E-4</v>
      </c>
      <c r="D8" s="21">
        <v>8.7948999999999999E-2</v>
      </c>
      <c r="E8" s="21">
        <v>87.7</v>
      </c>
      <c r="F8" s="22">
        <v>1.2352000000000001E-3</v>
      </c>
      <c r="G8" s="21">
        <v>0.24765000000000001</v>
      </c>
      <c r="H8" s="21">
        <v>87.703000000000003</v>
      </c>
      <c r="I8" s="22">
        <v>7.9729999999999995E-2</v>
      </c>
      <c r="J8" s="21">
        <v>15.962999999999999</v>
      </c>
      <c r="K8" s="21">
        <v>87.697999999999993</v>
      </c>
      <c r="L8" s="22">
        <v>2.9233000000000002E-3</v>
      </c>
      <c r="M8" s="21">
        <v>0.58697999999999995</v>
      </c>
    </row>
    <row r="9" spans="1:13" x14ac:dyDescent="0.3">
      <c r="A9" s="2">
        <v>-78.129099999999994</v>
      </c>
      <c r="B9" s="21">
        <v>87.701999999999998</v>
      </c>
      <c r="C9" s="22">
        <v>4.3850999999999997E-4</v>
      </c>
      <c r="D9" s="21">
        <v>8.7470000000000006E-2</v>
      </c>
      <c r="E9" s="21">
        <v>87.703000000000003</v>
      </c>
      <c r="F9" s="22">
        <v>1.2352000000000001E-3</v>
      </c>
      <c r="G9" s="21">
        <v>0.24629999999999999</v>
      </c>
      <c r="H9" s="21">
        <v>87.706000000000003</v>
      </c>
      <c r="I9" s="22">
        <v>7.9732999999999998E-2</v>
      </c>
      <c r="J9" s="21">
        <v>15.875999999999999</v>
      </c>
      <c r="K9" s="21">
        <v>87.7</v>
      </c>
      <c r="L9" s="22">
        <v>2.9233000000000002E-3</v>
      </c>
      <c r="M9" s="21">
        <v>0.58379000000000003</v>
      </c>
    </row>
    <row r="10" spans="1:13" x14ac:dyDescent="0.3">
      <c r="A10" s="2">
        <v>-77.0364</v>
      </c>
      <c r="B10" s="21">
        <v>87.703999999999994</v>
      </c>
      <c r="C10" s="22">
        <v>4.3852000000000002E-4</v>
      </c>
      <c r="D10" s="21">
        <v>8.6990999999999999E-2</v>
      </c>
      <c r="E10" s="21">
        <v>87.704999999999998</v>
      </c>
      <c r="F10" s="22">
        <v>1.2352999999999999E-3</v>
      </c>
      <c r="G10" s="21">
        <v>0.24495</v>
      </c>
      <c r="H10" s="21">
        <v>87.709000000000003</v>
      </c>
      <c r="I10" s="22">
        <v>7.9736000000000001E-2</v>
      </c>
      <c r="J10" s="21">
        <v>15.788</v>
      </c>
      <c r="K10" s="21">
        <v>87.701999999999998</v>
      </c>
      <c r="L10" s="22">
        <v>2.9234E-3</v>
      </c>
      <c r="M10" s="21">
        <v>0.58059000000000005</v>
      </c>
    </row>
    <row r="11" spans="1:13" x14ac:dyDescent="0.3">
      <c r="A11" s="2">
        <v>-75.943700000000007</v>
      </c>
      <c r="B11" s="21">
        <v>87.706999999999994</v>
      </c>
      <c r="C11" s="22">
        <v>4.3853000000000002E-4</v>
      </c>
      <c r="D11" s="21">
        <v>8.6512000000000006E-2</v>
      </c>
      <c r="E11" s="21">
        <v>87.707999999999998</v>
      </c>
      <c r="F11" s="22">
        <v>1.2352999999999999E-3</v>
      </c>
      <c r="G11" s="21">
        <v>0.24360000000000001</v>
      </c>
      <c r="H11" s="21">
        <v>87.712000000000003</v>
      </c>
      <c r="I11" s="22">
        <v>7.9738000000000003E-2</v>
      </c>
      <c r="J11" s="21">
        <v>15.701000000000001</v>
      </c>
      <c r="K11" s="21">
        <v>87.703999999999994</v>
      </c>
      <c r="L11" s="22">
        <v>2.9234999999999999E-3</v>
      </c>
      <c r="M11" s="21">
        <v>0.57740000000000002</v>
      </c>
    </row>
    <row r="12" spans="1:13" x14ac:dyDescent="0.3">
      <c r="A12" s="2">
        <v>-74.850999999999999</v>
      </c>
      <c r="B12" s="21">
        <v>87.71</v>
      </c>
      <c r="C12" s="22">
        <v>4.3855000000000001E-4</v>
      </c>
      <c r="D12" s="21">
        <v>8.6032999999999998E-2</v>
      </c>
      <c r="E12" s="21">
        <v>87.710999999999999</v>
      </c>
      <c r="F12" s="22">
        <v>1.2354E-3</v>
      </c>
      <c r="G12" s="21">
        <v>0.24224999999999999</v>
      </c>
      <c r="H12" s="21">
        <v>87.715000000000003</v>
      </c>
      <c r="I12" s="22">
        <v>7.9741000000000006E-2</v>
      </c>
      <c r="J12" s="21">
        <v>15.614000000000001</v>
      </c>
      <c r="K12" s="21">
        <v>87.706000000000003</v>
      </c>
      <c r="L12" s="22">
        <v>2.9234999999999999E-3</v>
      </c>
      <c r="M12" s="21">
        <v>0.57420000000000004</v>
      </c>
    </row>
    <row r="13" spans="1:13" x14ac:dyDescent="0.3">
      <c r="A13" s="2">
        <v>-73.758300000000006</v>
      </c>
      <c r="B13" s="21">
        <v>87.691000000000003</v>
      </c>
      <c r="C13" s="22">
        <v>4.3846E-4</v>
      </c>
      <c r="D13" s="21">
        <v>8.5554000000000005E-2</v>
      </c>
      <c r="E13" s="21">
        <v>87.691999999999993</v>
      </c>
      <c r="F13" s="22">
        <v>1.2351E-3</v>
      </c>
      <c r="G13" s="21">
        <v>0.2409</v>
      </c>
      <c r="H13" s="21">
        <v>87.697000000000003</v>
      </c>
      <c r="I13" s="22">
        <v>7.9724000000000003E-2</v>
      </c>
      <c r="J13" s="21">
        <v>15.526999999999999</v>
      </c>
      <c r="K13" s="21">
        <v>87.686999999999998</v>
      </c>
      <c r="L13" s="22">
        <v>2.9229E-3</v>
      </c>
      <c r="M13" s="21">
        <v>0.57101000000000002</v>
      </c>
    </row>
    <row r="14" spans="1:13" x14ac:dyDescent="0.3">
      <c r="A14" s="2">
        <v>-72.665599999999998</v>
      </c>
      <c r="B14" s="21">
        <v>87.65</v>
      </c>
      <c r="C14" s="22">
        <v>4.3825E-4</v>
      </c>
      <c r="D14" s="21">
        <v>8.5074999999999998E-2</v>
      </c>
      <c r="E14" s="21">
        <v>87.650999999999996</v>
      </c>
      <c r="F14" s="22">
        <v>1.2344999999999999E-3</v>
      </c>
      <c r="G14" s="21">
        <v>0.23955000000000001</v>
      </c>
      <c r="H14" s="21">
        <v>87.655000000000001</v>
      </c>
      <c r="I14" s="22">
        <v>7.9686999999999994E-2</v>
      </c>
      <c r="J14" s="21">
        <v>15.44</v>
      </c>
      <c r="K14" s="21">
        <v>87.646000000000001</v>
      </c>
      <c r="L14" s="22">
        <v>2.9215000000000001E-3</v>
      </c>
      <c r="M14" s="21">
        <v>0.56781999999999999</v>
      </c>
    </row>
    <row r="15" spans="1:13" x14ac:dyDescent="0.3">
      <c r="A15" s="2">
        <v>-71.572999999999993</v>
      </c>
      <c r="B15" s="21">
        <v>87.608999999999995</v>
      </c>
      <c r="C15" s="22">
        <v>4.3804E-4</v>
      </c>
      <c r="D15" s="21">
        <v>8.4596000000000005E-2</v>
      </c>
      <c r="E15" s="21">
        <v>87.61</v>
      </c>
      <c r="F15" s="22">
        <v>1.2339E-3</v>
      </c>
      <c r="G15" s="21">
        <v>0.23821000000000001</v>
      </c>
      <c r="H15" s="21">
        <v>87.614000000000004</v>
      </c>
      <c r="I15" s="22">
        <v>7.9648999999999998E-2</v>
      </c>
      <c r="J15" s="21">
        <v>15.353</v>
      </c>
      <c r="K15" s="21">
        <v>87.605000000000004</v>
      </c>
      <c r="L15" s="22">
        <v>2.9202E-3</v>
      </c>
      <c r="M15" s="21">
        <v>0.56462999999999997</v>
      </c>
    </row>
    <row r="16" spans="1:13" x14ac:dyDescent="0.3">
      <c r="A16" s="2">
        <v>-70.48</v>
      </c>
      <c r="B16" s="21">
        <v>87.567999999999998</v>
      </c>
      <c r="C16" s="22">
        <v>4.3784E-4</v>
      </c>
      <c r="D16" s="21">
        <v>8.4116999999999997E-2</v>
      </c>
      <c r="E16" s="21">
        <v>87.569000000000003</v>
      </c>
      <c r="F16" s="22">
        <v>1.2333999999999999E-3</v>
      </c>
      <c r="G16" s="21">
        <v>0.23685999999999999</v>
      </c>
      <c r="H16" s="21">
        <v>87.572000000000003</v>
      </c>
      <c r="I16" s="22">
        <v>7.9611000000000001E-2</v>
      </c>
      <c r="J16" s="21">
        <v>15.266</v>
      </c>
      <c r="K16" s="21">
        <v>87.563000000000002</v>
      </c>
      <c r="L16" s="22">
        <v>2.9188E-3</v>
      </c>
      <c r="M16" s="21">
        <v>0.56142999999999998</v>
      </c>
    </row>
    <row r="17" spans="1:13" x14ac:dyDescent="0.3">
      <c r="A17" s="2">
        <v>-69.387</v>
      </c>
      <c r="B17" s="21">
        <v>87.527000000000001</v>
      </c>
      <c r="C17" s="22">
        <v>4.3763E-4</v>
      </c>
      <c r="D17" s="21">
        <v>8.3638000000000004E-2</v>
      </c>
      <c r="E17" s="21">
        <v>87.528000000000006</v>
      </c>
      <c r="F17" s="22">
        <v>1.2328E-3</v>
      </c>
      <c r="G17" s="21">
        <v>0.23551</v>
      </c>
      <c r="H17" s="21">
        <v>87.531000000000006</v>
      </c>
      <c r="I17" s="22">
        <v>7.9573000000000005E-2</v>
      </c>
      <c r="J17" s="21">
        <v>15.179</v>
      </c>
      <c r="K17" s="21">
        <v>87.522000000000006</v>
      </c>
      <c r="L17" s="22">
        <v>2.9174000000000001E-3</v>
      </c>
      <c r="M17" s="21">
        <v>0.55823999999999996</v>
      </c>
    </row>
    <row r="18" spans="1:13" x14ac:dyDescent="0.3">
      <c r="A18" s="2">
        <v>-68.295000000000002</v>
      </c>
      <c r="B18" s="21">
        <v>87.486000000000004</v>
      </c>
      <c r="C18" s="22">
        <v>4.3742999999999999E-4</v>
      </c>
      <c r="D18" s="21">
        <v>8.3158999999999997E-2</v>
      </c>
      <c r="E18" s="21">
        <v>87.486999999999995</v>
      </c>
      <c r="F18" s="22">
        <v>1.2321999999999999E-3</v>
      </c>
      <c r="G18" s="21">
        <v>0.23416000000000001</v>
      </c>
      <c r="H18" s="21">
        <v>87.489000000000004</v>
      </c>
      <c r="I18" s="22">
        <v>7.9534999999999995E-2</v>
      </c>
      <c r="J18" s="21">
        <v>15.092000000000001</v>
      </c>
      <c r="K18" s="21">
        <v>87.480999999999995</v>
      </c>
      <c r="L18" s="22">
        <v>2.9160000000000002E-3</v>
      </c>
      <c r="M18" s="21">
        <v>0.55505000000000004</v>
      </c>
    </row>
    <row r="19" spans="1:13" x14ac:dyDescent="0.3">
      <c r="A19" s="2">
        <v>-67.201999999999998</v>
      </c>
      <c r="B19" s="21">
        <v>87.444999999999993</v>
      </c>
      <c r="C19" s="22">
        <v>4.3721999999999999E-4</v>
      </c>
      <c r="D19" s="21">
        <v>8.2681000000000004E-2</v>
      </c>
      <c r="E19" s="21">
        <v>87.444999999999993</v>
      </c>
      <c r="F19" s="22">
        <v>1.2316E-3</v>
      </c>
      <c r="G19" s="21">
        <v>0.23280999999999999</v>
      </c>
      <c r="H19" s="21">
        <v>87.447000000000003</v>
      </c>
      <c r="I19" s="22">
        <v>7.9497999999999999E-2</v>
      </c>
      <c r="J19" s="21">
        <v>15.005000000000001</v>
      </c>
      <c r="K19" s="21">
        <v>87.44</v>
      </c>
      <c r="L19" s="22">
        <v>2.9147000000000001E-3</v>
      </c>
      <c r="M19" s="21">
        <v>0.55186000000000002</v>
      </c>
    </row>
    <row r="20" spans="1:13" x14ac:dyDescent="0.3">
      <c r="A20" s="2">
        <v>-66.108999999999995</v>
      </c>
      <c r="B20" s="21">
        <v>87.394000000000005</v>
      </c>
      <c r="C20" s="22">
        <v>4.3697000000000001E-4</v>
      </c>
      <c r="D20" s="21">
        <v>8.2201999999999997E-2</v>
      </c>
      <c r="E20" s="21">
        <v>87.394999999999996</v>
      </c>
      <c r="F20" s="22">
        <v>1.2309E-3</v>
      </c>
      <c r="G20" s="21">
        <v>0.23146</v>
      </c>
      <c r="H20" s="21">
        <v>87.397000000000006</v>
      </c>
      <c r="I20" s="22">
        <v>7.9450999999999994E-2</v>
      </c>
      <c r="J20" s="21">
        <v>14.917999999999999</v>
      </c>
      <c r="K20" s="21">
        <v>87.388999999999996</v>
      </c>
      <c r="L20" s="22">
        <v>2.9129999999999998E-3</v>
      </c>
      <c r="M20" s="21">
        <v>0.54866999999999999</v>
      </c>
    </row>
    <row r="21" spans="1:13" x14ac:dyDescent="0.3">
      <c r="A21" s="2">
        <v>-65.016999999999996</v>
      </c>
      <c r="B21" s="21">
        <v>87.622</v>
      </c>
      <c r="C21" s="22">
        <v>4.3811000000000002E-4</v>
      </c>
      <c r="D21" s="21">
        <v>8.1722000000000003E-2</v>
      </c>
      <c r="E21" s="21">
        <v>87.622</v>
      </c>
      <c r="F21" s="22">
        <v>1.2340999999999999E-3</v>
      </c>
      <c r="G21" s="21">
        <v>0.23011000000000001</v>
      </c>
      <c r="H21" s="21">
        <v>87.623000000000005</v>
      </c>
      <c r="I21" s="22">
        <v>7.9657000000000006E-2</v>
      </c>
      <c r="J21" s="21">
        <v>14.83</v>
      </c>
      <c r="K21" s="21">
        <v>87.617999999999995</v>
      </c>
      <c r="L21" s="22">
        <v>2.9206000000000002E-3</v>
      </c>
      <c r="M21" s="21">
        <v>0.54547000000000001</v>
      </c>
    </row>
    <row r="22" spans="1:13" x14ac:dyDescent="0.3">
      <c r="A22" s="2">
        <v>-63.923999999999999</v>
      </c>
      <c r="B22" s="21">
        <v>87.85</v>
      </c>
      <c r="C22" s="22">
        <v>4.3925000000000002E-4</v>
      </c>
      <c r="D22" s="21">
        <v>8.1240999999999994E-2</v>
      </c>
      <c r="E22" s="21">
        <v>87.85</v>
      </c>
      <c r="F22" s="22">
        <v>1.2373E-3</v>
      </c>
      <c r="G22" s="21">
        <v>0.22875999999999999</v>
      </c>
      <c r="H22" s="21">
        <v>87.85</v>
      </c>
      <c r="I22" s="22">
        <v>7.9864000000000004E-2</v>
      </c>
      <c r="J22" s="21">
        <v>14.743</v>
      </c>
      <c r="K22" s="21">
        <v>87.847999999999999</v>
      </c>
      <c r="L22" s="22">
        <v>2.9283E-3</v>
      </c>
      <c r="M22" s="21">
        <v>0.54227000000000003</v>
      </c>
    </row>
    <row r="23" spans="1:13" x14ac:dyDescent="0.3">
      <c r="A23" s="2">
        <v>-62.831000000000003</v>
      </c>
      <c r="B23" s="21">
        <v>88.08</v>
      </c>
      <c r="C23" s="22">
        <v>4.4040000000000003E-4</v>
      </c>
      <c r="D23" s="21">
        <v>8.0758999999999997E-2</v>
      </c>
      <c r="E23" s="21">
        <v>88.08</v>
      </c>
      <c r="F23" s="22">
        <v>1.2405999999999999E-3</v>
      </c>
      <c r="G23" s="21">
        <v>0.22739999999999999</v>
      </c>
      <c r="H23" s="21">
        <v>88.078999999999994</v>
      </c>
      <c r="I23" s="22">
        <v>8.0072000000000004E-2</v>
      </c>
      <c r="J23" s="21">
        <v>14.654999999999999</v>
      </c>
      <c r="K23" s="21">
        <v>88.078999999999994</v>
      </c>
      <c r="L23" s="22">
        <v>2.9359999999999998E-3</v>
      </c>
      <c r="M23" s="21">
        <v>0.53905999999999998</v>
      </c>
    </row>
    <row r="24" spans="1:13" x14ac:dyDescent="0.3">
      <c r="A24" s="2">
        <v>-61.738</v>
      </c>
      <c r="B24" s="21">
        <v>88.31</v>
      </c>
      <c r="C24" s="22">
        <v>4.4155000000000003E-4</v>
      </c>
      <c r="D24" s="21">
        <v>8.0276E-2</v>
      </c>
      <c r="E24" s="21">
        <v>88.31</v>
      </c>
      <c r="F24" s="22">
        <v>1.2438E-3</v>
      </c>
      <c r="G24" s="21">
        <v>0.22603999999999999</v>
      </c>
      <c r="H24" s="21">
        <v>88.308000000000007</v>
      </c>
      <c r="I24" s="22">
        <v>8.0280000000000004E-2</v>
      </c>
      <c r="J24" s="21">
        <v>14.567</v>
      </c>
      <c r="K24" s="21">
        <v>88.311000000000007</v>
      </c>
      <c r="L24" s="22">
        <v>2.9437E-3</v>
      </c>
      <c r="M24" s="21">
        <v>0.53583999999999998</v>
      </c>
    </row>
    <row r="25" spans="1:13" x14ac:dyDescent="0.3">
      <c r="A25" s="2">
        <v>-60.646000000000001</v>
      </c>
      <c r="B25" s="21">
        <v>88.542000000000002</v>
      </c>
      <c r="C25" s="22">
        <v>4.4271000000000002E-4</v>
      </c>
      <c r="D25" s="21">
        <v>7.9792000000000002E-2</v>
      </c>
      <c r="E25" s="21">
        <v>88.540999999999997</v>
      </c>
      <c r="F25" s="22">
        <v>1.2470999999999999E-3</v>
      </c>
      <c r="G25" s="21">
        <v>0.22467000000000001</v>
      </c>
      <c r="H25" s="21">
        <v>88.539000000000001</v>
      </c>
      <c r="I25" s="22">
        <v>8.0490000000000006E-2</v>
      </c>
      <c r="J25" s="21">
        <v>14.478999999999999</v>
      </c>
      <c r="K25" s="21">
        <v>88.545000000000002</v>
      </c>
      <c r="L25" s="22">
        <v>2.9515000000000001E-3</v>
      </c>
      <c r="M25" s="21">
        <v>0.53261999999999998</v>
      </c>
    </row>
    <row r="26" spans="1:13" x14ac:dyDescent="0.3">
      <c r="A26" s="2">
        <v>-59.552999999999997</v>
      </c>
      <c r="B26" s="21">
        <v>88.774000000000001</v>
      </c>
      <c r="C26" s="22">
        <v>4.4387000000000002E-4</v>
      </c>
      <c r="D26" s="21">
        <v>7.9307000000000002E-2</v>
      </c>
      <c r="E26" s="21">
        <v>88.772999999999996</v>
      </c>
      <c r="F26" s="22">
        <v>1.2503E-3</v>
      </c>
      <c r="G26" s="21">
        <v>0.2233</v>
      </c>
      <c r="H26" s="21">
        <v>88.77</v>
      </c>
      <c r="I26" s="22">
        <v>8.0699999999999994E-2</v>
      </c>
      <c r="J26" s="21">
        <v>14.391</v>
      </c>
      <c r="K26" s="21">
        <v>88.778999999999996</v>
      </c>
      <c r="L26" s="22">
        <v>2.9593000000000002E-3</v>
      </c>
      <c r="M26" s="21">
        <v>0.52939000000000003</v>
      </c>
    </row>
    <row r="27" spans="1:13" x14ac:dyDescent="0.3">
      <c r="A27" s="2">
        <v>-58.46</v>
      </c>
      <c r="B27" s="21">
        <v>89.007999999999996</v>
      </c>
      <c r="C27" s="22">
        <v>4.4504000000000001E-4</v>
      </c>
      <c r="D27" s="21">
        <v>7.8820000000000001E-2</v>
      </c>
      <c r="E27" s="21">
        <v>89.007000000000005</v>
      </c>
      <c r="F27" s="22">
        <v>1.2535999999999999E-3</v>
      </c>
      <c r="G27" s="21">
        <v>0.22192999999999999</v>
      </c>
      <c r="H27" s="21">
        <v>89.003</v>
      </c>
      <c r="I27" s="22">
        <v>8.0911999999999998E-2</v>
      </c>
      <c r="J27" s="21">
        <v>14.302</v>
      </c>
      <c r="K27" s="21">
        <v>89.013999999999996</v>
      </c>
      <c r="L27" s="22">
        <v>2.9670999999999999E-3</v>
      </c>
      <c r="M27" s="21">
        <v>0.52615000000000001</v>
      </c>
    </row>
    <row r="28" spans="1:13" x14ac:dyDescent="0.3">
      <c r="A28" s="2">
        <v>-57.368000000000002</v>
      </c>
      <c r="B28" s="21">
        <v>89.823999999999998</v>
      </c>
      <c r="C28" s="22">
        <v>4.4912000000000001E-4</v>
      </c>
      <c r="D28" s="21">
        <v>7.8333E-2</v>
      </c>
      <c r="E28" s="21">
        <v>89.822999999999993</v>
      </c>
      <c r="F28" s="22">
        <v>1.2650999999999999E-3</v>
      </c>
      <c r="G28" s="21">
        <v>0.22056000000000001</v>
      </c>
      <c r="H28" s="21">
        <v>89.817999999999998</v>
      </c>
      <c r="I28" s="22">
        <v>8.1653000000000003E-2</v>
      </c>
      <c r="J28" s="21">
        <v>14.212999999999999</v>
      </c>
      <c r="K28" s="21">
        <v>89.831000000000003</v>
      </c>
      <c r="L28" s="22">
        <v>2.9943999999999999E-3</v>
      </c>
      <c r="M28" s="21">
        <v>0.52292000000000005</v>
      </c>
    </row>
    <row r="29" spans="1:13" x14ac:dyDescent="0.3">
      <c r="A29" s="2">
        <v>-56.274999999999999</v>
      </c>
      <c r="B29" s="21">
        <v>91.36</v>
      </c>
      <c r="C29" s="22">
        <v>4.5679999999999999E-4</v>
      </c>
      <c r="D29" s="21">
        <v>7.7840999999999994E-2</v>
      </c>
      <c r="E29" s="21">
        <v>91.358000000000004</v>
      </c>
      <c r="F29" s="22">
        <v>1.2867E-3</v>
      </c>
      <c r="G29" s="21">
        <v>0.21917</v>
      </c>
      <c r="H29" s="21">
        <v>91.353999999999999</v>
      </c>
      <c r="I29" s="22">
        <v>8.3048999999999998E-2</v>
      </c>
      <c r="J29" s="21">
        <v>14.122999999999999</v>
      </c>
      <c r="K29" s="21">
        <v>91.366</v>
      </c>
      <c r="L29" s="22">
        <v>3.0455E-3</v>
      </c>
      <c r="M29" s="21">
        <v>0.51964999999999995</v>
      </c>
    </row>
    <row r="30" spans="1:13" x14ac:dyDescent="0.3">
      <c r="A30" s="2">
        <v>-55.182000000000002</v>
      </c>
      <c r="B30" s="21">
        <v>92.897999999999996</v>
      </c>
      <c r="C30" s="22">
        <v>4.6449000000000002E-4</v>
      </c>
      <c r="D30" s="21">
        <v>7.7340999999999993E-2</v>
      </c>
      <c r="E30" s="21">
        <v>92.896000000000001</v>
      </c>
      <c r="F30" s="22">
        <v>1.3083999999999999E-3</v>
      </c>
      <c r="G30" s="21">
        <v>0.21776000000000001</v>
      </c>
      <c r="H30" s="21">
        <v>92.891000000000005</v>
      </c>
      <c r="I30" s="22">
        <v>8.4445999999999993E-2</v>
      </c>
      <c r="J30" s="21">
        <v>14.032</v>
      </c>
      <c r="K30" s="21">
        <v>92.903999999999996</v>
      </c>
      <c r="L30" s="22">
        <v>3.0967999999999998E-3</v>
      </c>
      <c r="M30" s="21">
        <v>0.51634000000000002</v>
      </c>
    </row>
    <row r="31" spans="1:13" x14ac:dyDescent="0.3">
      <c r="A31" s="2">
        <v>-54.088999999999999</v>
      </c>
      <c r="B31" s="21">
        <v>94.436999999999998</v>
      </c>
      <c r="C31" s="22">
        <v>4.7218999999999999E-4</v>
      </c>
      <c r="D31" s="21">
        <v>7.6832999999999999E-2</v>
      </c>
      <c r="E31" s="21">
        <v>94.435000000000002</v>
      </c>
      <c r="F31" s="22">
        <v>1.3301000000000001E-3</v>
      </c>
      <c r="G31" s="21">
        <v>0.21632999999999999</v>
      </c>
      <c r="H31" s="21">
        <v>94.429000000000002</v>
      </c>
      <c r="I31" s="22">
        <v>8.5845000000000005E-2</v>
      </c>
      <c r="J31" s="21">
        <v>13.939</v>
      </c>
      <c r="K31" s="21">
        <v>94.442999999999998</v>
      </c>
      <c r="L31" s="22">
        <v>3.1481E-3</v>
      </c>
      <c r="M31" s="21">
        <v>0.51297000000000004</v>
      </c>
    </row>
    <row r="32" spans="1:13" x14ac:dyDescent="0.3">
      <c r="A32" s="2">
        <v>-52.997</v>
      </c>
      <c r="B32" s="21">
        <v>95.978999999999999</v>
      </c>
      <c r="C32" s="22">
        <v>4.7989000000000001E-4</v>
      </c>
      <c r="D32" s="21">
        <v>7.6317999999999997E-2</v>
      </c>
      <c r="E32" s="21">
        <v>95.977000000000004</v>
      </c>
      <c r="F32" s="22">
        <v>1.3518E-3</v>
      </c>
      <c r="G32" s="21">
        <v>0.21487999999999999</v>
      </c>
      <c r="H32" s="21">
        <v>95.97</v>
      </c>
      <c r="I32" s="22">
        <v>8.7246000000000004E-2</v>
      </c>
      <c r="J32" s="21">
        <v>13.845000000000001</v>
      </c>
      <c r="K32" s="21">
        <v>95.983999999999995</v>
      </c>
      <c r="L32" s="22">
        <v>3.1995000000000001E-3</v>
      </c>
      <c r="M32" s="21">
        <v>0.50956000000000001</v>
      </c>
    </row>
    <row r="33" spans="1:13" x14ac:dyDescent="0.3">
      <c r="A33" s="2">
        <v>-51.904000000000003</v>
      </c>
      <c r="B33" s="21">
        <v>97.522000000000006</v>
      </c>
      <c r="C33" s="22">
        <v>4.8760999999999997E-4</v>
      </c>
      <c r="D33" s="21">
        <v>7.5795000000000001E-2</v>
      </c>
      <c r="E33" s="21">
        <v>97.519000000000005</v>
      </c>
      <c r="F33" s="22">
        <v>1.3734999999999999E-3</v>
      </c>
      <c r="G33" s="21">
        <v>0.21340000000000001</v>
      </c>
      <c r="H33" s="21">
        <v>97.512</v>
      </c>
      <c r="I33" s="22">
        <v>8.8648000000000005E-2</v>
      </c>
      <c r="J33" s="21">
        <v>13.749000000000001</v>
      </c>
      <c r="K33" s="21">
        <v>97.527000000000001</v>
      </c>
      <c r="L33" s="22">
        <v>3.2509000000000001E-3</v>
      </c>
      <c r="M33" s="21">
        <v>0.50609999999999999</v>
      </c>
    </row>
    <row r="34" spans="1:13" x14ac:dyDescent="0.3">
      <c r="A34" s="2">
        <v>-50.811</v>
      </c>
      <c r="B34" s="21">
        <v>99.066000000000003</v>
      </c>
      <c r="C34" s="22">
        <v>4.9532999999999999E-4</v>
      </c>
      <c r="D34" s="21">
        <v>7.5263999999999998E-2</v>
      </c>
      <c r="E34" s="21">
        <v>99.063999999999993</v>
      </c>
      <c r="F34" s="22">
        <v>1.3952999999999999E-3</v>
      </c>
      <c r="G34" s="21">
        <v>0.21190000000000001</v>
      </c>
      <c r="H34" s="21">
        <v>99.055999999999997</v>
      </c>
      <c r="I34" s="22">
        <v>9.0051000000000006E-2</v>
      </c>
      <c r="J34" s="21">
        <v>13.651999999999999</v>
      </c>
      <c r="K34" s="21">
        <v>99.070999999999998</v>
      </c>
      <c r="L34" s="22">
        <v>3.3024E-3</v>
      </c>
      <c r="M34" s="21">
        <v>0.50258000000000003</v>
      </c>
    </row>
    <row r="35" spans="1:13" x14ac:dyDescent="0.3">
      <c r="A35" s="2">
        <v>-49.719000000000001</v>
      </c>
      <c r="B35" s="21">
        <v>100.61</v>
      </c>
      <c r="C35" s="22">
        <v>5.0306000000000005E-4</v>
      </c>
      <c r="D35" s="21">
        <v>7.4726000000000001E-2</v>
      </c>
      <c r="E35" s="21">
        <v>100.61</v>
      </c>
      <c r="F35" s="22">
        <v>1.4170000000000001E-3</v>
      </c>
      <c r="G35" s="21">
        <v>0.21038000000000001</v>
      </c>
      <c r="H35" s="21">
        <v>100.6</v>
      </c>
      <c r="I35" s="22">
        <v>9.1455999999999996E-2</v>
      </c>
      <c r="J35" s="21">
        <v>13.553000000000001</v>
      </c>
      <c r="K35" s="21">
        <v>100.62</v>
      </c>
      <c r="L35" s="22">
        <v>3.3538999999999999E-3</v>
      </c>
      <c r="M35" s="21">
        <v>0.49902000000000002</v>
      </c>
    </row>
    <row r="36" spans="1:13" x14ac:dyDescent="0.3">
      <c r="A36" s="2">
        <v>-48.625999999999998</v>
      </c>
      <c r="B36" s="21">
        <v>101.29</v>
      </c>
      <c r="C36" s="22">
        <v>5.0646999999999997E-4</v>
      </c>
      <c r="D36" s="21">
        <v>7.4181999999999998E-2</v>
      </c>
      <c r="E36" s="21">
        <v>101.29</v>
      </c>
      <c r="F36" s="22">
        <v>1.4266999999999999E-3</v>
      </c>
      <c r="G36" s="21">
        <v>0.20885000000000001</v>
      </c>
      <c r="H36" s="21">
        <v>101.29</v>
      </c>
      <c r="I36" s="22">
        <v>9.2077999999999993E-2</v>
      </c>
      <c r="J36" s="21">
        <v>13.452999999999999</v>
      </c>
      <c r="K36" s="21">
        <v>101.3</v>
      </c>
      <c r="L36" s="22">
        <v>3.3766E-3</v>
      </c>
      <c r="M36" s="21">
        <v>0.49542000000000003</v>
      </c>
    </row>
    <row r="37" spans="1:13" x14ac:dyDescent="0.3">
      <c r="A37" s="2">
        <v>-47.533000000000001</v>
      </c>
      <c r="B37" s="21">
        <v>101.93</v>
      </c>
      <c r="C37" s="22">
        <v>5.0962999999999996E-4</v>
      </c>
      <c r="D37" s="21">
        <v>7.3633000000000004E-2</v>
      </c>
      <c r="E37" s="21">
        <v>101.92</v>
      </c>
      <c r="F37" s="22">
        <v>1.4356E-3</v>
      </c>
      <c r="G37" s="21">
        <v>0.20730000000000001</v>
      </c>
      <c r="H37" s="21">
        <v>101.92</v>
      </c>
      <c r="I37" s="22">
        <v>9.2652999999999999E-2</v>
      </c>
      <c r="J37" s="21">
        <v>13.353</v>
      </c>
      <c r="K37" s="21">
        <v>101.93</v>
      </c>
      <c r="L37" s="22">
        <v>3.3977E-3</v>
      </c>
      <c r="M37" s="21">
        <v>0.49177999999999999</v>
      </c>
    </row>
    <row r="38" spans="1:13" x14ac:dyDescent="0.3">
      <c r="A38" s="2">
        <v>-46.44</v>
      </c>
      <c r="B38" s="21">
        <v>102.57</v>
      </c>
      <c r="C38" s="22">
        <v>5.1285000000000002E-4</v>
      </c>
      <c r="D38" s="21">
        <v>7.3080000000000006E-2</v>
      </c>
      <c r="E38" s="21">
        <v>102.57</v>
      </c>
      <c r="F38" s="22">
        <v>1.4446000000000001E-3</v>
      </c>
      <c r="G38" s="21">
        <v>0.20574000000000001</v>
      </c>
      <c r="H38" s="21">
        <v>102.56</v>
      </c>
      <c r="I38" s="22">
        <v>9.3240000000000003E-2</v>
      </c>
      <c r="J38" s="21">
        <v>13.252000000000001</v>
      </c>
      <c r="K38" s="21">
        <v>102.57</v>
      </c>
      <c r="L38" s="22">
        <v>3.4191E-3</v>
      </c>
      <c r="M38" s="21">
        <v>0.48810999999999999</v>
      </c>
    </row>
    <row r="39" spans="1:13" x14ac:dyDescent="0.3">
      <c r="A39" s="2">
        <v>-45.347999999999999</v>
      </c>
      <c r="B39" s="21">
        <v>103.23</v>
      </c>
      <c r="C39" s="22">
        <v>5.1614E-4</v>
      </c>
      <c r="D39" s="21">
        <v>7.2522000000000003E-2</v>
      </c>
      <c r="E39" s="21">
        <v>103.23</v>
      </c>
      <c r="F39" s="22">
        <v>1.4538999999999999E-3</v>
      </c>
      <c r="G39" s="21">
        <v>0.20416999999999999</v>
      </c>
      <c r="H39" s="21">
        <v>103.22</v>
      </c>
      <c r="I39" s="22">
        <v>9.3838000000000005E-2</v>
      </c>
      <c r="J39" s="21">
        <v>13.15</v>
      </c>
      <c r="K39" s="21">
        <v>103.23</v>
      </c>
      <c r="L39" s="22">
        <v>3.441E-3</v>
      </c>
      <c r="M39" s="21">
        <v>0.4844</v>
      </c>
    </row>
    <row r="40" spans="1:13" x14ac:dyDescent="0.3">
      <c r="A40" s="2">
        <v>-44.255000000000003</v>
      </c>
      <c r="B40" s="21">
        <v>103.9</v>
      </c>
      <c r="C40" s="22">
        <v>5.1948999999999995E-4</v>
      </c>
      <c r="D40" s="21">
        <v>7.1958999999999995E-2</v>
      </c>
      <c r="E40" s="21">
        <v>103.9</v>
      </c>
      <c r="F40" s="22">
        <v>1.4633000000000001E-3</v>
      </c>
      <c r="G40" s="21">
        <v>0.20258000000000001</v>
      </c>
      <c r="H40" s="21">
        <v>103.89</v>
      </c>
      <c r="I40" s="22">
        <v>9.4449000000000005E-2</v>
      </c>
      <c r="J40" s="21">
        <v>13.048</v>
      </c>
      <c r="K40" s="21">
        <v>103.9</v>
      </c>
      <c r="L40" s="22">
        <v>3.4634000000000002E-3</v>
      </c>
      <c r="M40" s="21">
        <v>0.48065000000000002</v>
      </c>
    </row>
    <row r="41" spans="1:13" x14ac:dyDescent="0.3">
      <c r="A41" s="2">
        <v>-43.161999999999999</v>
      </c>
      <c r="B41" s="21">
        <v>104.58</v>
      </c>
      <c r="C41" s="22">
        <v>5.2289999999999997E-4</v>
      </c>
      <c r="D41" s="21">
        <v>7.1391999999999997E-2</v>
      </c>
      <c r="E41" s="21">
        <v>104.58</v>
      </c>
      <c r="F41" s="22">
        <v>1.4729999999999999E-3</v>
      </c>
      <c r="G41" s="21">
        <v>0.20097999999999999</v>
      </c>
      <c r="H41" s="21">
        <v>104.58</v>
      </c>
      <c r="I41" s="22">
        <v>9.5071000000000003E-2</v>
      </c>
      <c r="J41" s="21">
        <v>12.945</v>
      </c>
      <c r="K41" s="21">
        <v>104.58</v>
      </c>
      <c r="L41" s="22">
        <v>3.4860999999999998E-3</v>
      </c>
      <c r="M41" s="21">
        <v>0.47686000000000001</v>
      </c>
    </row>
    <row r="42" spans="1:13" x14ac:dyDescent="0.3">
      <c r="A42" s="2">
        <v>-42.07</v>
      </c>
      <c r="B42" s="21">
        <v>105.92</v>
      </c>
      <c r="C42" s="22">
        <v>5.2959999999999997E-4</v>
      </c>
      <c r="D42" s="21">
        <v>7.0816000000000004E-2</v>
      </c>
      <c r="E42" s="21">
        <v>105.92</v>
      </c>
      <c r="F42" s="22">
        <v>1.4917999999999999E-3</v>
      </c>
      <c r="G42" s="21">
        <v>0.19936000000000001</v>
      </c>
      <c r="H42" s="21">
        <v>105.92</v>
      </c>
      <c r="I42" s="22">
        <v>9.6287999999999999E-2</v>
      </c>
      <c r="J42" s="21">
        <v>12.84</v>
      </c>
      <c r="K42" s="21">
        <v>105.92</v>
      </c>
      <c r="L42" s="22">
        <v>3.5308000000000002E-3</v>
      </c>
      <c r="M42" s="21">
        <v>0.47302</v>
      </c>
    </row>
    <row r="43" spans="1:13" x14ac:dyDescent="0.3">
      <c r="A43" s="2">
        <v>-40.976999999999997</v>
      </c>
      <c r="B43" s="21">
        <v>107.74</v>
      </c>
      <c r="C43" s="22">
        <v>5.3868000000000004E-4</v>
      </c>
      <c r="D43" s="21">
        <v>7.0230000000000001E-2</v>
      </c>
      <c r="E43" s="21">
        <v>107.73</v>
      </c>
      <c r="F43" s="22">
        <v>1.5173999999999999E-3</v>
      </c>
      <c r="G43" s="21">
        <v>0.19771</v>
      </c>
      <c r="H43" s="21">
        <v>107.73</v>
      </c>
      <c r="I43" s="22">
        <v>9.7936999999999996E-2</v>
      </c>
      <c r="J43" s="21">
        <v>12.734</v>
      </c>
      <c r="K43" s="21">
        <v>107.74</v>
      </c>
      <c r="L43" s="22">
        <v>3.5913E-3</v>
      </c>
      <c r="M43" s="21">
        <v>0.46910000000000002</v>
      </c>
    </row>
    <row r="44" spans="1:13" x14ac:dyDescent="0.3">
      <c r="A44" s="2">
        <v>-39.884</v>
      </c>
      <c r="B44" s="21">
        <v>109.55</v>
      </c>
      <c r="C44" s="22">
        <v>5.4777000000000005E-4</v>
      </c>
      <c r="D44" s="21">
        <v>6.9633E-2</v>
      </c>
      <c r="E44" s="21">
        <v>109.55</v>
      </c>
      <c r="F44" s="22">
        <v>1.5430000000000001E-3</v>
      </c>
      <c r="G44" s="21">
        <v>0.19603000000000001</v>
      </c>
      <c r="H44" s="21">
        <v>109.55</v>
      </c>
      <c r="I44" s="22">
        <v>9.9587999999999996E-2</v>
      </c>
      <c r="J44" s="21">
        <v>12.625999999999999</v>
      </c>
      <c r="K44" s="21">
        <v>109.56</v>
      </c>
      <c r="L44" s="22">
        <v>3.6519E-3</v>
      </c>
      <c r="M44" s="21">
        <v>0.46510000000000001</v>
      </c>
    </row>
    <row r="45" spans="1:13" x14ac:dyDescent="0.3">
      <c r="A45" s="2">
        <v>-38.790999999999997</v>
      </c>
      <c r="B45" s="21">
        <v>111.37</v>
      </c>
      <c r="C45" s="22">
        <v>5.5687E-4</v>
      </c>
      <c r="D45" s="21">
        <v>6.9025000000000003E-2</v>
      </c>
      <c r="E45" s="21">
        <v>111.37</v>
      </c>
      <c r="F45" s="22">
        <v>1.5686000000000001E-3</v>
      </c>
      <c r="G45" s="21">
        <v>0.19431999999999999</v>
      </c>
      <c r="H45" s="21">
        <v>111.36</v>
      </c>
      <c r="I45" s="22">
        <v>0.10124</v>
      </c>
      <c r="J45" s="21">
        <v>12.516</v>
      </c>
      <c r="K45" s="21">
        <v>111.38</v>
      </c>
      <c r="L45" s="22">
        <v>3.7125999999999999E-3</v>
      </c>
      <c r="M45" s="21">
        <v>0.46103</v>
      </c>
    </row>
    <row r="46" spans="1:13" x14ac:dyDescent="0.3">
      <c r="A46" s="2">
        <v>-37.698999999999998</v>
      </c>
      <c r="B46" s="21">
        <v>113.2</v>
      </c>
      <c r="C46" s="22">
        <v>5.6598E-4</v>
      </c>
      <c r="D46" s="21">
        <v>6.8406999999999996E-2</v>
      </c>
      <c r="E46" s="21">
        <v>113.19</v>
      </c>
      <c r="F46" s="22">
        <v>1.5943000000000001E-3</v>
      </c>
      <c r="G46" s="21">
        <v>0.19258</v>
      </c>
      <c r="H46" s="21">
        <v>113.19</v>
      </c>
      <c r="I46" s="22">
        <v>0.10290000000000001</v>
      </c>
      <c r="J46" s="21">
        <v>12.404</v>
      </c>
      <c r="K46" s="21">
        <v>113.2</v>
      </c>
      <c r="L46" s="22">
        <v>3.7734000000000001E-3</v>
      </c>
      <c r="M46" s="21">
        <v>0.45689000000000002</v>
      </c>
    </row>
    <row r="47" spans="1:13" x14ac:dyDescent="0.3">
      <c r="A47" s="2">
        <v>-36.606000000000002</v>
      </c>
      <c r="B47" s="21">
        <v>115.02</v>
      </c>
      <c r="C47" s="22">
        <v>5.7510999999999999E-4</v>
      </c>
      <c r="D47" s="21">
        <v>6.7778000000000005E-2</v>
      </c>
      <c r="E47" s="21">
        <v>115.02</v>
      </c>
      <c r="F47" s="22">
        <v>1.6199999999999999E-3</v>
      </c>
      <c r="G47" s="21">
        <v>0.19081000000000001</v>
      </c>
      <c r="H47" s="21">
        <v>115.01</v>
      </c>
      <c r="I47" s="22">
        <v>0.10455</v>
      </c>
      <c r="J47" s="21">
        <v>12.29</v>
      </c>
      <c r="K47" s="21">
        <v>115.03</v>
      </c>
      <c r="L47" s="22">
        <v>3.8341999999999998E-3</v>
      </c>
      <c r="M47" s="21">
        <v>0.45268000000000003</v>
      </c>
    </row>
    <row r="48" spans="1:13" x14ac:dyDescent="0.3">
      <c r="A48" s="2">
        <v>-35.512999999999998</v>
      </c>
      <c r="B48" s="21">
        <v>116.8</v>
      </c>
      <c r="C48" s="22">
        <v>5.8401000000000004E-4</v>
      </c>
      <c r="D48" s="21">
        <v>6.7139000000000004E-2</v>
      </c>
      <c r="E48" s="21">
        <v>116.8</v>
      </c>
      <c r="F48" s="22">
        <v>1.6451E-3</v>
      </c>
      <c r="G48" s="21">
        <v>0.18901999999999999</v>
      </c>
      <c r="H48" s="21">
        <v>116.79</v>
      </c>
      <c r="I48" s="22">
        <v>0.10617</v>
      </c>
      <c r="J48" s="21">
        <v>12.175000000000001</v>
      </c>
      <c r="K48" s="21">
        <v>116.81</v>
      </c>
      <c r="L48" s="22">
        <v>3.8936000000000001E-3</v>
      </c>
      <c r="M48" s="21">
        <v>0.44840000000000002</v>
      </c>
    </row>
    <row r="49" spans="1:13" x14ac:dyDescent="0.3">
      <c r="A49" s="2">
        <v>-34.420999999999999</v>
      </c>
      <c r="B49" s="21">
        <v>118.22</v>
      </c>
      <c r="C49" s="22">
        <v>5.911E-4</v>
      </c>
      <c r="D49" s="21">
        <v>6.6490999999999995E-2</v>
      </c>
      <c r="E49" s="21">
        <v>118.22</v>
      </c>
      <c r="F49" s="22">
        <v>1.665E-3</v>
      </c>
      <c r="G49" s="21">
        <v>0.18719</v>
      </c>
      <c r="H49" s="21">
        <v>118.21</v>
      </c>
      <c r="I49" s="22">
        <v>0.10746</v>
      </c>
      <c r="J49" s="21">
        <v>12.058</v>
      </c>
      <c r="K49" s="21">
        <v>118.22</v>
      </c>
      <c r="L49" s="22">
        <v>3.9408000000000004E-3</v>
      </c>
      <c r="M49" s="21">
        <v>0.44405</v>
      </c>
    </row>
    <row r="50" spans="1:13" x14ac:dyDescent="0.3">
      <c r="A50" s="2">
        <v>-33.328000000000003</v>
      </c>
      <c r="B50" s="21">
        <v>119.64</v>
      </c>
      <c r="C50" s="22">
        <v>5.9818999999999996E-4</v>
      </c>
      <c r="D50" s="21">
        <v>6.5836000000000006E-2</v>
      </c>
      <c r="E50" s="21">
        <v>119.64</v>
      </c>
      <c r="F50" s="22">
        <v>1.6850000000000001E-3</v>
      </c>
      <c r="G50" s="21">
        <v>0.18534999999999999</v>
      </c>
      <c r="H50" s="21">
        <v>119.63</v>
      </c>
      <c r="I50" s="22">
        <v>0.10876</v>
      </c>
      <c r="J50" s="21">
        <v>11.939</v>
      </c>
      <c r="K50" s="21">
        <v>119.64</v>
      </c>
      <c r="L50" s="22">
        <v>3.9880000000000002E-3</v>
      </c>
      <c r="M50" s="21">
        <v>0.43967000000000001</v>
      </c>
    </row>
    <row r="51" spans="1:13" x14ac:dyDescent="0.3">
      <c r="A51" s="2">
        <v>-32.234999999999999</v>
      </c>
      <c r="B51" s="21">
        <v>121.06</v>
      </c>
      <c r="C51" s="22">
        <v>6.0528999999999997E-4</v>
      </c>
      <c r="D51" s="21">
        <v>6.5173999999999996E-2</v>
      </c>
      <c r="E51" s="21">
        <v>121.06</v>
      </c>
      <c r="F51" s="22">
        <v>1.7049999999999999E-3</v>
      </c>
      <c r="G51" s="21">
        <v>0.18348999999999999</v>
      </c>
      <c r="H51" s="21">
        <v>121.06</v>
      </c>
      <c r="I51" s="22">
        <v>0.11005</v>
      </c>
      <c r="J51" s="21">
        <v>11.82</v>
      </c>
      <c r="K51" s="21">
        <v>121.06</v>
      </c>
      <c r="L51" s="22">
        <v>4.0352000000000001E-3</v>
      </c>
      <c r="M51" s="21">
        <v>0.43523000000000001</v>
      </c>
    </row>
    <row r="52" spans="1:13" x14ac:dyDescent="0.3">
      <c r="A52" s="2">
        <v>-31.141999999999999</v>
      </c>
      <c r="B52" s="21">
        <v>122.48</v>
      </c>
      <c r="C52" s="22">
        <v>6.1240000000000003E-4</v>
      </c>
      <c r="D52" s="21">
        <v>6.4505999999999994E-2</v>
      </c>
      <c r="E52" s="21">
        <v>122.48</v>
      </c>
      <c r="F52" s="22">
        <v>1.7251E-3</v>
      </c>
      <c r="G52" s="21">
        <v>0.18160999999999999</v>
      </c>
      <c r="H52" s="21">
        <v>122.48</v>
      </c>
      <c r="I52" s="22">
        <v>0.11135</v>
      </c>
      <c r="J52" s="21">
        <v>11.698</v>
      </c>
      <c r="K52" s="21">
        <v>122.48</v>
      </c>
      <c r="L52" s="22">
        <v>4.0825999999999996E-3</v>
      </c>
      <c r="M52" s="21">
        <v>0.43075999999999998</v>
      </c>
    </row>
    <row r="53" spans="1:13" x14ac:dyDescent="0.3">
      <c r="A53" s="2">
        <v>-30.05</v>
      </c>
      <c r="B53" s="21">
        <v>123.9</v>
      </c>
      <c r="C53" s="22">
        <v>6.1952000000000003E-4</v>
      </c>
      <c r="D53" s="21">
        <v>6.3829999999999998E-2</v>
      </c>
      <c r="E53" s="21">
        <v>123.9</v>
      </c>
      <c r="F53" s="22">
        <v>1.7451000000000001E-3</v>
      </c>
      <c r="G53" s="21">
        <v>0.1797</v>
      </c>
      <c r="H53" s="21">
        <v>123.91</v>
      </c>
      <c r="I53" s="22">
        <v>0.11265</v>
      </c>
      <c r="J53" s="21">
        <v>11.576000000000001</v>
      </c>
      <c r="K53" s="21">
        <v>123.9</v>
      </c>
      <c r="L53" s="22">
        <v>4.1298999999999997E-3</v>
      </c>
      <c r="M53" s="21">
        <v>0.42624000000000001</v>
      </c>
    </row>
    <row r="54" spans="1:13" x14ac:dyDescent="0.3">
      <c r="A54" s="2">
        <v>-28.957000000000001</v>
      </c>
      <c r="B54" s="21">
        <v>125.33</v>
      </c>
      <c r="C54" s="22">
        <v>6.2664000000000003E-4</v>
      </c>
      <c r="D54" s="21">
        <v>6.3146999999999995E-2</v>
      </c>
      <c r="E54" s="21">
        <v>125.33</v>
      </c>
      <c r="F54" s="22">
        <v>1.7652E-3</v>
      </c>
      <c r="G54" s="21">
        <v>0.17777999999999999</v>
      </c>
      <c r="H54" s="21">
        <v>125.34</v>
      </c>
      <c r="I54" s="22">
        <v>0.11395</v>
      </c>
      <c r="J54" s="21">
        <v>11.452</v>
      </c>
      <c r="K54" s="21">
        <v>125.32</v>
      </c>
      <c r="L54" s="22">
        <v>4.1774000000000004E-3</v>
      </c>
      <c r="M54" s="21">
        <v>0.42166999999999999</v>
      </c>
    </row>
    <row r="55" spans="1:13" x14ac:dyDescent="0.3">
      <c r="A55" s="2">
        <v>-27.864000000000001</v>
      </c>
      <c r="B55" s="21">
        <v>126.13</v>
      </c>
      <c r="C55" s="22">
        <v>6.3066999999999995E-4</v>
      </c>
      <c r="D55" s="21">
        <v>6.2458E-2</v>
      </c>
      <c r="E55" s="21">
        <v>126.14</v>
      </c>
      <c r="F55" s="22">
        <v>1.7765999999999999E-3</v>
      </c>
      <c r="G55" s="21">
        <v>0.17584</v>
      </c>
      <c r="H55" s="21">
        <v>126.15</v>
      </c>
      <c r="I55" s="22">
        <v>0.11468</v>
      </c>
      <c r="J55" s="21">
        <v>11.327</v>
      </c>
      <c r="K55" s="21">
        <v>126.13</v>
      </c>
      <c r="L55" s="22">
        <v>4.2042E-3</v>
      </c>
      <c r="M55" s="21">
        <v>0.41707</v>
      </c>
    </row>
    <row r="56" spans="1:13" x14ac:dyDescent="0.3">
      <c r="A56" s="2">
        <v>-26.771999999999998</v>
      </c>
      <c r="B56" s="21">
        <v>126.49</v>
      </c>
      <c r="C56" s="22">
        <v>6.3246999999999999E-4</v>
      </c>
      <c r="D56" s="21">
        <v>6.1766000000000001E-2</v>
      </c>
      <c r="E56" s="21">
        <v>126.5</v>
      </c>
      <c r="F56" s="22">
        <v>1.7815999999999999E-3</v>
      </c>
      <c r="G56" s="21">
        <v>0.17388999999999999</v>
      </c>
      <c r="H56" s="21">
        <v>126.51</v>
      </c>
      <c r="I56" s="22">
        <v>0.11501</v>
      </c>
      <c r="J56" s="21">
        <v>11.201000000000001</v>
      </c>
      <c r="K56" s="21">
        <v>126.49</v>
      </c>
      <c r="L56" s="22">
        <v>4.2161999999999998E-3</v>
      </c>
      <c r="M56" s="21">
        <v>0.41243999999999997</v>
      </c>
    </row>
    <row r="57" spans="1:13" x14ac:dyDescent="0.3">
      <c r="A57" s="2">
        <v>-25.678999999999998</v>
      </c>
      <c r="B57" s="21">
        <v>126.85</v>
      </c>
      <c r="C57" s="22">
        <v>6.3427000000000004E-4</v>
      </c>
      <c r="D57" s="21">
        <v>6.1072000000000001E-2</v>
      </c>
      <c r="E57" s="21">
        <v>126.86</v>
      </c>
      <c r="F57" s="22">
        <v>1.7867E-3</v>
      </c>
      <c r="G57" s="21">
        <v>0.17194000000000001</v>
      </c>
      <c r="H57" s="21">
        <v>126.87</v>
      </c>
      <c r="I57" s="22">
        <v>0.11533</v>
      </c>
      <c r="J57" s="21">
        <v>11.076000000000001</v>
      </c>
      <c r="K57" s="21">
        <v>126.85</v>
      </c>
      <c r="L57" s="22">
        <v>4.2281999999999997E-3</v>
      </c>
      <c r="M57" s="21">
        <v>0.40781000000000001</v>
      </c>
    </row>
    <row r="58" spans="1:13" x14ac:dyDescent="0.3">
      <c r="A58" s="2">
        <v>-24.585999999999999</v>
      </c>
      <c r="B58" s="21">
        <v>127.22</v>
      </c>
      <c r="C58" s="22">
        <v>6.3608000000000002E-4</v>
      </c>
      <c r="D58" s="21">
        <v>6.0377E-2</v>
      </c>
      <c r="E58" s="21">
        <v>127.22</v>
      </c>
      <c r="F58" s="22">
        <v>1.7918000000000001E-3</v>
      </c>
      <c r="G58" s="21">
        <v>0.16997999999999999</v>
      </c>
      <c r="H58" s="21">
        <v>127.23</v>
      </c>
      <c r="I58" s="22">
        <v>0.11566</v>
      </c>
      <c r="J58" s="21">
        <v>10.949</v>
      </c>
      <c r="K58" s="21">
        <v>127.21</v>
      </c>
      <c r="L58" s="22">
        <v>4.2402000000000004E-3</v>
      </c>
      <c r="M58" s="21">
        <v>0.40316999999999997</v>
      </c>
    </row>
    <row r="59" spans="1:13" x14ac:dyDescent="0.3">
      <c r="A59" s="2">
        <v>-23.492999999999999</v>
      </c>
      <c r="B59" s="21">
        <v>127.58</v>
      </c>
      <c r="C59" s="22">
        <v>6.3789000000000001E-4</v>
      </c>
      <c r="D59" s="21">
        <v>5.9679000000000003E-2</v>
      </c>
      <c r="E59" s="21">
        <v>127.58</v>
      </c>
      <c r="F59" s="22">
        <v>1.7968999999999999E-3</v>
      </c>
      <c r="G59" s="21">
        <v>0.16802</v>
      </c>
      <c r="H59" s="21">
        <v>127.59</v>
      </c>
      <c r="I59" s="22">
        <v>0.11599</v>
      </c>
      <c r="J59" s="21">
        <v>10.823</v>
      </c>
      <c r="K59" s="21">
        <v>127.57</v>
      </c>
      <c r="L59" s="22">
        <v>4.2522999999999997E-3</v>
      </c>
      <c r="M59" s="21">
        <v>0.39851999999999999</v>
      </c>
    </row>
    <row r="60" spans="1:13" x14ac:dyDescent="0.3">
      <c r="A60" s="2">
        <v>-22.401</v>
      </c>
      <c r="B60" s="21">
        <v>127.94</v>
      </c>
      <c r="C60" s="22">
        <v>6.3969999999999999E-4</v>
      </c>
      <c r="D60" s="21">
        <v>5.8979999999999998E-2</v>
      </c>
      <c r="E60" s="21">
        <v>127.94</v>
      </c>
      <c r="F60" s="22">
        <v>1.802E-3</v>
      </c>
      <c r="G60" s="21">
        <v>0.16605</v>
      </c>
      <c r="H60" s="21">
        <v>127.95</v>
      </c>
      <c r="I60" s="22">
        <v>0.11632000000000001</v>
      </c>
      <c r="J60" s="21">
        <v>10.696</v>
      </c>
      <c r="K60" s="21">
        <v>127.93</v>
      </c>
      <c r="L60" s="22">
        <v>4.2643999999999998E-3</v>
      </c>
      <c r="M60" s="21">
        <v>0.39385999999999999</v>
      </c>
    </row>
    <row r="61" spans="1:13" x14ac:dyDescent="0.3">
      <c r="A61" s="2">
        <v>-21.308</v>
      </c>
      <c r="B61" s="21">
        <v>128.30000000000001</v>
      </c>
      <c r="C61" s="22">
        <v>6.4152000000000002E-4</v>
      </c>
      <c r="D61" s="21">
        <v>5.8279999999999998E-2</v>
      </c>
      <c r="E61" s="21">
        <v>128.31</v>
      </c>
      <c r="F61" s="22">
        <v>1.8071000000000001E-3</v>
      </c>
      <c r="G61" s="21">
        <v>0.16408</v>
      </c>
      <c r="H61" s="21">
        <v>128.32</v>
      </c>
      <c r="I61" s="22">
        <v>0.11665</v>
      </c>
      <c r="J61" s="21">
        <v>10.568</v>
      </c>
      <c r="K61" s="21">
        <v>128.30000000000001</v>
      </c>
      <c r="L61" s="22">
        <v>4.2764999999999999E-3</v>
      </c>
      <c r="M61" s="21">
        <v>0.38918000000000003</v>
      </c>
    </row>
    <row r="62" spans="1:13" x14ac:dyDescent="0.3">
      <c r="A62" s="2">
        <v>-20.215</v>
      </c>
      <c r="B62" s="21">
        <v>128.61000000000001</v>
      </c>
      <c r="C62" s="22">
        <v>6.4305999999999999E-4</v>
      </c>
      <c r="D62" s="21">
        <v>5.7577999999999997E-2</v>
      </c>
      <c r="E62" s="21">
        <v>128.62</v>
      </c>
      <c r="F62" s="22">
        <v>1.8115E-3</v>
      </c>
      <c r="G62" s="21">
        <v>0.16209999999999999</v>
      </c>
      <c r="H62" s="21">
        <v>128.63</v>
      </c>
      <c r="I62" s="22">
        <v>0.11693000000000001</v>
      </c>
      <c r="J62" s="21">
        <v>10.441000000000001</v>
      </c>
      <c r="K62" s="21">
        <v>128.6</v>
      </c>
      <c r="L62" s="22">
        <v>4.2868000000000003E-3</v>
      </c>
      <c r="M62" s="21">
        <v>0.38450000000000001</v>
      </c>
    </row>
    <row r="63" spans="1:13" x14ac:dyDescent="0.3">
      <c r="A63" s="2">
        <v>-19.123000000000001</v>
      </c>
      <c r="B63" s="21">
        <v>128.56</v>
      </c>
      <c r="C63" s="22">
        <v>6.4278000000000002E-4</v>
      </c>
      <c r="D63" s="21">
        <v>5.6876999999999997E-2</v>
      </c>
      <c r="E63" s="21">
        <v>128.56</v>
      </c>
      <c r="F63" s="22">
        <v>1.8106999999999999E-3</v>
      </c>
      <c r="G63" s="21">
        <v>0.16012000000000001</v>
      </c>
      <c r="H63" s="21">
        <v>128.56</v>
      </c>
      <c r="I63" s="22">
        <v>0.11688</v>
      </c>
      <c r="J63" s="21">
        <v>10.313000000000001</v>
      </c>
      <c r="K63" s="21">
        <v>128.55000000000001</v>
      </c>
      <c r="L63" s="22">
        <v>4.2849999999999997E-3</v>
      </c>
      <c r="M63" s="21">
        <v>0.37983</v>
      </c>
    </row>
    <row r="64" spans="1:13" x14ac:dyDescent="0.3">
      <c r="A64" s="2">
        <v>-18.03</v>
      </c>
      <c r="B64" s="21">
        <v>128.5</v>
      </c>
      <c r="C64" s="22">
        <v>6.4249000000000001E-4</v>
      </c>
      <c r="D64" s="21">
        <v>5.6175999999999997E-2</v>
      </c>
      <c r="E64" s="21">
        <v>128.5</v>
      </c>
      <c r="F64" s="22">
        <v>1.8098999999999999E-3</v>
      </c>
      <c r="G64" s="21">
        <v>0.15815000000000001</v>
      </c>
      <c r="H64" s="21">
        <v>128.5</v>
      </c>
      <c r="I64" s="22">
        <v>0.11681999999999999</v>
      </c>
      <c r="J64" s="21">
        <v>10.186</v>
      </c>
      <c r="K64" s="21">
        <v>128.49</v>
      </c>
      <c r="L64" s="22">
        <v>4.2830999999999998E-3</v>
      </c>
      <c r="M64" s="21">
        <v>0.37515999999999999</v>
      </c>
    </row>
    <row r="65" spans="1:13" x14ac:dyDescent="0.3">
      <c r="A65" s="2">
        <v>-16.937000000000001</v>
      </c>
      <c r="B65" s="21">
        <v>128.44</v>
      </c>
      <c r="C65" s="22">
        <v>6.4221000000000005E-4</v>
      </c>
      <c r="D65" s="21">
        <v>5.5474999999999997E-2</v>
      </c>
      <c r="E65" s="21">
        <v>128.44</v>
      </c>
      <c r="F65" s="22">
        <v>1.8090000000000001E-3</v>
      </c>
      <c r="G65" s="21">
        <v>0.15618000000000001</v>
      </c>
      <c r="H65" s="21">
        <v>128.44</v>
      </c>
      <c r="I65" s="22">
        <v>0.11677</v>
      </c>
      <c r="J65" s="21">
        <v>10.058</v>
      </c>
      <c r="K65" s="21">
        <v>128.44</v>
      </c>
      <c r="L65" s="22">
        <v>4.2813E-3</v>
      </c>
      <c r="M65" s="21">
        <v>0.37048999999999999</v>
      </c>
    </row>
    <row r="66" spans="1:13" x14ac:dyDescent="0.3">
      <c r="A66" s="2">
        <v>-15.843999999999999</v>
      </c>
      <c r="B66" s="21">
        <v>128.38</v>
      </c>
      <c r="C66" s="22">
        <v>6.4192000000000003E-4</v>
      </c>
      <c r="D66" s="21">
        <v>5.4774000000000003E-2</v>
      </c>
      <c r="E66" s="21">
        <v>128.38</v>
      </c>
      <c r="F66" s="22">
        <v>1.8082E-3</v>
      </c>
      <c r="G66" s="21">
        <v>0.1542</v>
      </c>
      <c r="H66" s="21">
        <v>128.38</v>
      </c>
      <c r="I66" s="22">
        <v>0.11670999999999999</v>
      </c>
      <c r="J66" s="21">
        <v>9.9307999999999996</v>
      </c>
      <c r="K66" s="21">
        <v>128.38</v>
      </c>
      <c r="L66" s="22">
        <v>4.2795000000000003E-3</v>
      </c>
      <c r="M66" s="21">
        <v>0.36581999999999998</v>
      </c>
    </row>
    <row r="67" spans="1:13" x14ac:dyDescent="0.3">
      <c r="A67" s="2">
        <v>-14.752000000000001</v>
      </c>
      <c r="B67" s="21">
        <v>128.33000000000001</v>
      </c>
      <c r="C67" s="22">
        <v>6.4163000000000002E-4</v>
      </c>
      <c r="D67" s="21">
        <v>5.4073999999999997E-2</v>
      </c>
      <c r="E67" s="21">
        <v>128.33000000000001</v>
      </c>
      <c r="F67" s="22">
        <v>1.8074E-3</v>
      </c>
      <c r="G67" s="21">
        <v>0.15223</v>
      </c>
      <c r="H67" s="21">
        <v>128.32</v>
      </c>
      <c r="I67" s="22">
        <v>0.11666</v>
      </c>
      <c r="J67" s="21">
        <v>9.8033999999999999</v>
      </c>
      <c r="K67" s="21">
        <v>128.33000000000001</v>
      </c>
      <c r="L67" s="22">
        <v>4.2776000000000003E-3</v>
      </c>
      <c r="M67" s="21">
        <v>0.36114000000000002</v>
      </c>
    </row>
    <row r="68" spans="1:13" x14ac:dyDescent="0.3">
      <c r="A68" s="2">
        <v>-13.659000000000001</v>
      </c>
      <c r="B68" s="21">
        <v>128.27000000000001</v>
      </c>
      <c r="C68" s="22">
        <v>6.4134999999999995E-4</v>
      </c>
      <c r="D68" s="21">
        <v>5.3372999999999997E-2</v>
      </c>
      <c r="E68" s="21">
        <v>128.27000000000001</v>
      </c>
      <c r="F68" s="22">
        <v>1.8066E-3</v>
      </c>
      <c r="G68" s="21">
        <v>0.15024999999999999</v>
      </c>
      <c r="H68" s="21">
        <v>128.26</v>
      </c>
      <c r="I68" s="22">
        <v>0.1166</v>
      </c>
      <c r="J68" s="21">
        <v>9.6760000000000002</v>
      </c>
      <c r="K68" s="21">
        <v>128.27000000000001</v>
      </c>
      <c r="L68" s="22">
        <v>4.2757999999999997E-3</v>
      </c>
      <c r="M68" s="21">
        <v>0.35647000000000001</v>
      </c>
    </row>
    <row r="69" spans="1:13" x14ac:dyDescent="0.3">
      <c r="A69" s="2">
        <v>-12.566000000000001</v>
      </c>
      <c r="B69" s="21">
        <v>128.21</v>
      </c>
      <c r="C69" s="22">
        <v>6.4106000000000005E-4</v>
      </c>
      <c r="D69" s="21">
        <v>5.2671999999999997E-2</v>
      </c>
      <c r="E69" s="21">
        <v>128.21</v>
      </c>
      <c r="F69" s="22">
        <v>1.8058E-3</v>
      </c>
      <c r="G69" s="21">
        <v>0.14828</v>
      </c>
      <c r="H69" s="21">
        <v>128.19999999999999</v>
      </c>
      <c r="I69" s="22">
        <v>0.11655</v>
      </c>
      <c r="J69" s="21">
        <v>9.5486000000000004</v>
      </c>
      <c r="K69" s="21">
        <v>128.22</v>
      </c>
      <c r="L69" s="22">
        <v>4.2738999999999997E-3</v>
      </c>
      <c r="M69" s="21">
        <v>0.3518</v>
      </c>
    </row>
    <row r="70" spans="1:13" x14ac:dyDescent="0.3">
      <c r="A70" s="2">
        <v>-11.474</v>
      </c>
      <c r="B70" s="21">
        <v>128.19</v>
      </c>
      <c r="C70" s="22">
        <v>6.4097000000000004E-4</v>
      </c>
      <c r="D70" s="21">
        <v>5.1971999999999997E-2</v>
      </c>
      <c r="E70" s="21">
        <v>128.19</v>
      </c>
      <c r="F70" s="22">
        <v>1.8055E-3</v>
      </c>
      <c r="G70" s="21">
        <v>0.14631</v>
      </c>
      <c r="H70" s="21">
        <v>128.19</v>
      </c>
      <c r="I70" s="22">
        <v>0.11652999999999999</v>
      </c>
      <c r="J70" s="21">
        <v>9.4213000000000005</v>
      </c>
      <c r="K70" s="21">
        <v>128.19999999999999</v>
      </c>
      <c r="L70" s="22">
        <v>4.2734000000000001E-3</v>
      </c>
      <c r="M70" s="21">
        <v>0.34712999999999999</v>
      </c>
    </row>
    <row r="71" spans="1:13" x14ac:dyDescent="0.3">
      <c r="A71" s="2">
        <v>-10.381</v>
      </c>
      <c r="B71" s="21">
        <v>128.19999999999999</v>
      </c>
      <c r="C71" s="22">
        <v>6.4099000000000003E-4</v>
      </c>
      <c r="D71" s="21">
        <v>5.1270999999999997E-2</v>
      </c>
      <c r="E71" s="21">
        <v>128.19999999999999</v>
      </c>
      <c r="F71" s="22">
        <v>1.8056000000000001E-3</v>
      </c>
      <c r="G71" s="21">
        <v>0.14433000000000001</v>
      </c>
      <c r="H71" s="21">
        <v>128.19</v>
      </c>
      <c r="I71" s="22">
        <v>0.11654</v>
      </c>
      <c r="J71" s="21">
        <v>9.2939000000000007</v>
      </c>
      <c r="K71" s="21">
        <v>128.19999999999999</v>
      </c>
      <c r="L71" s="22">
        <v>4.2734000000000001E-3</v>
      </c>
      <c r="M71" s="21">
        <v>0.34245999999999999</v>
      </c>
    </row>
    <row r="72" spans="1:13" x14ac:dyDescent="0.3">
      <c r="A72" s="2">
        <v>-9.2880000000000003</v>
      </c>
      <c r="B72" s="21">
        <v>128.19999999999999</v>
      </c>
      <c r="C72" s="22">
        <v>6.4099999999999997E-4</v>
      </c>
      <c r="D72" s="21">
        <v>5.0570999999999998E-2</v>
      </c>
      <c r="E72" s="21">
        <v>128.19999999999999</v>
      </c>
      <c r="F72" s="22">
        <v>1.8056000000000001E-3</v>
      </c>
      <c r="G72" s="21">
        <v>0.14235999999999999</v>
      </c>
      <c r="H72" s="21">
        <v>128.19</v>
      </c>
      <c r="I72" s="22">
        <v>0.11654</v>
      </c>
      <c r="J72" s="21">
        <v>9.1666000000000007</v>
      </c>
      <c r="K72" s="21">
        <v>128.19999999999999</v>
      </c>
      <c r="L72" s="22">
        <v>4.2734000000000001E-3</v>
      </c>
      <c r="M72" s="21">
        <v>0.33778999999999998</v>
      </c>
    </row>
    <row r="73" spans="1:13" x14ac:dyDescent="0.3">
      <c r="A73" s="2">
        <v>-8.1950000000000003</v>
      </c>
      <c r="B73" s="21">
        <v>128.19999999999999</v>
      </c>
      <c r="C73" s="22">
        <v>6.4101000000000002E-4</v>
      </c>
      <c r="D73" s="21">
        <v>4.9870999999999999E-2</v>
      </c>
      <c r="E73" s="21">
        <v>128.19999999999999</v>
      </c>
      <c r="F73" s="22">
        <v>1.8056000000000001E-3</v>
      </c>
      <c r="G73" s="21">
        <v>0.14038999999999999</v>
      </c>
      <c r="H73" s="21">
        <v>128.19999999999999</v>
      </c>
      <c r="I73" s="22">
        <v>0.11654</v>
      </c>
      <c r="J73" s="21">
        <v>9.0391999999999992</v>
      </c>
      <c r="K73" s="21">
        <v>128.19999999999999</v>
      </c>
      <c r="L73" s="22">
        <v>4.2735000000000004E-3</v>
      </c>
      <c r="M73" s="21">
        <v>0.33312000000000003</v>
      </c>
    </row>
    <row r="74" spans="1:13" x14ac:dyDescent="0.3">
      <c r="A74" s="2">
        <v>-7.1029999999999998</v>
      </c>
      <c r="B74" s="21">
        <v>128.19999999999999</v>
      </c>
      <c r="C74" s="22">
        <v>6.4101999999999996E-4</v>
      </c>
      <c r="D74" s="21">
        <v>4.9169999999999998E-2</v>
      </c>
      <c r="E74" s="21">
        <v>128.19999999999999</v>
      </c>
      <c r="F74" s="22">
        <v>1.8056999999999999E-3</v>
      </c>
      <c r="G74" s="21">
        <v>0.13841000000000001</v>
      </c>
      <c r="H74" s="21">
        <v>128.19999999999999</v>
      </c>
      <c r="I74" s="22">
        <v>0.11655</v>
      </c>
      <c r="J74" s="21">
        <v>8.9118999999999993</v>
      </c>
      <c r="K74" s="21">
        <v>128.21</v>
      </c>
      <c r="L74" s="22">
        <v>4.2735000000000004E-3</v>
      </c>
      <c r="M74" s="21">
        <v>0.32845000000000002</v>
      </c>
    </row>
    <row r="75" spans="1:13" x14ac:dyDescent="0.3">
      <c r="A75" s="2">
        <v>-6.01</v>
      </c>
      <c r="B75" s="21">
        <v>128.21</v>
      </c>
      <c r="C75" s="22">
        <v>6.4103000000000001E-4</v>
      </c>
      <c r="D75" s="21">
        <v>4.8469999999999999E-2</v>
      </c>
      <c r="E75" s="21">
        <v>128.21</v>
      </c>
      <c r="F75" s="22">
        <v>1.8056999999999999E-3</v>
      </c>
      <c r="G75" s="21">
        <v>0.13644000000000001</v>
      </c>
      <c r="H75" s="21">
        <v>128.21</v>
      </c>
      <c r="I75" s="22">
        <v>0.11655</v>
      </c>
      <c r="J75" s="21">
        <v>8.7844999999999995</v>
      </c>
      <c r="K75" s="21">
        <v>128.21</v>
      </c>
      <c r="L75" s="22">
        <v>4.2735000000000004E-3</v>
      </c>
      <c r="M75" s="21">
        <v>0.32378000000000001</v>
      </c>
    </row>
    <row r="76" spans="1:13" x14ac:dyDescent="0.3">
      <c r="A76" s="2">
        <v>-4.9169999999999998</v>
      </c>
      <c r="B76" s="21">
        <v>128.21</v>
      </c>
      <c r="C76" s="22">
        <v>6.4103999999999995E-4</v>
      </c>
      <c r="D76" s="21">
        <v>4.7768999999999999E-2</v>
      </c>
      <c r="E76" s="21">
        <v>128.21</v>
      </c>
      <c r="F76" s="22">
        <v>1.8058E-3</v>
      </c>
      <c r="G76" s="21">
        <v>0.13447000000000001</v>
      </c>
      <c r="H76" s="21">
        <v>128.21</v>
      </c>
      <c r="I76" s="22">
        <v>0.11656</v>
      </c>
      <c r="J76" s="21">
        <v>8.6571999999999996</v>
      </c>
      <c r="K76" s="21">
        <v>128.21</v>
      </c>
      <c r="L76" s="22">
        <v>4.2735999999999998E-3</v>
      </c>
      <c r="M76" s="21">
        <v>0.31911</v>
      </c>
    </row>
    <row r="77" spans="1:13" x14ac:dyDescent="0.3">
      <c r="A77" s="2">
        <v>-3.8250000000000002</v>
      </c>
      <c r="B77" s="21">
        <v>128.21</v>
      </c>
      <c r="C77" s="22">
        <v>6.4105E-4</v>
      </c>
      <c r="D77" s="21">
        <v>4.7069E-2</v>
      </c>
      <c r="E77" s="21">
        <v>128.21</v>
      </c>
      <c r="F77" s="22">
        <v>1.8058E-3</v>
      </c>
      <c r="G77" s="21">
        <v>0.13250000000000001</v>
      </c>
      <c r="H77" s="21">
        <v>128.21</v>
      </c>
      <c r="I77" s="22">
        <v>0.11656</v>
      </c>
      <c r="J77" s="21">
        <v>8.5297999999999998</v>
      </c>
      <c r="K77" s="21">
        <v>128.21</v>
      </c>
      <c r="L77" s="22">
        <v>4.2735999999999998E-3</v>
      </c>
      <c r="M77" s="21">
        <v>0.31445000000000001</v>
      </c>
    </row>
    <row r="78" spans="1:13" x14ac:dyDescent="0.3">
      <c r="A78" s="2">
        <v>-2.7320000000000002</v>
      </c>
      <c r="B78" s="21">
        <v>128.21</v>
      </c>
      <c r="C78" s="22">
        <v>6.4105E-4</v>
      </c>
      <c r="D78" s="21">
        <v>4.6367999999999999E-2</v>
      </c>
      <c r="E78" s="21">
        <v>128.21</v>
      </c>
      <c r="F78" s="22">
        <v>1.8058E-3</v>
      </c>
      <c r="G78" s="21">
        <v>0.13052</v>
      </c>
      <c r="H78" s="21">
        <v>128.21</v>
      </c>
      <c r="I78" s="22">
        <v>0.11656</v>
      </c>
      <c r="J78" s="21">
        <v>8.4024000000000001</v>
      </c>
      <c r="K78" s="21">
        <v>128.21</v>
      </c>
      <c r="L78" s="22">
        <v>4.2735999999999998E-3</v>
      </c>
      <c r="M78" s="21">
        <v>0.30978</v>
      </c>
    </row>
    <row r="79" spans="1:13" x14ac:dyDescent="0.3">
      <c r="A79" s="2">
        <v>-1.639</v>
      </c>
      <c r="B79" s="21">
        <v>128.21</v>
      </c>
      <c r="C79" s="22">
        <v>6.4105E-4</v>
      </c>
      <c r="D79" s="21">
        <v>4.5668E-2</v>
      </c>
      <c r="E79" s="21">
        <v>128.21</v>
      </c>
      <c r="F79" s="22">
        <v>1.8058E-3</v>
      </c>
      <c r="G79" s="21">
        <v>0.12855</v>
      </c>
      <c r="H79" s="21">
        <v>128.21</v>
      </c>
      <c r="I79" s="22">
        <v>0.11656</v>
      </c>
      <c r="J79" s="21">
        <v>8.2751000000000001</v>
      </c>
      <c r="K79" s="21">
        <v>128.21</v>
      </c>
      <c r="L79" s="22">
        <v>4.2735999999999998E-3</v>
      </c>
      <c r="M79" s="21">
        <v>0.30510999999999999</v>
      </c>
    </row>
    <row r="80" spans="1:13" x14ac:dyDescent="0.3">
      <c r="A80" s="2">
        <v>-0.54600000000000004</v>
      </c>
      <c r="B80" s="21">
        <v>128.21</v>
      </c>
      <c r="C80" s="22">
        <v>6.4105E-4</v>
      </c>
      <c r="D80" s="21">
        <v>4.4967E-2</v>
      </c>
      <c r="E80" s="21">
        <v>128.21</v>
      </c>
      <c r="F80" s="22">
        <v>1.8058E-3</v>
      </c>
      <c r="G80" s="21">
        <v>0.12658</v>
      </c>
      <c r="H80" s="21">
        <v>128.21</v>
      </c>
      <c r="I80" s="22">
        <v>0.11656</v>
      </c>
      <c r="J80" s="21">
        <v>8.1477000000000004</v>
      </c>
      <c r="K80" s="21">
        <v>128.21</v>
      </c>
      <c r="L80" s="22">
        <v>4.2735999999999998E-3</v>
      </c>
      <c r="M80" s="21">
        <v>0.30043999999999998</v>
      </c>
    </row>
    <row r="81" spans="1:13" x14ac:dyDescent="0.3">
      <c r="A81" s="2">
        <v>0.54600000000000004</v>
      </c>
      <c r="B81" s="21">
        <v>128.21</v>
      </c>
      <c r="C81" s="22">
        <v>6.4105E-4</v>
      </c>
      <c r="D81" s="21">
        <v>4.4267000000000001E-2</v>
      </c>
      <c r="E81" s="21">
        <v>128.21</v>
      </c>
      <c r="F81" s="22">
        <v>1.8058E-3</v>
      </c>
      <c r="G81" s="21">
        <v>0.1246</v>
      </c>
      <c r="H81" s="21">
        <v>128.21</v>
      </c>
      <c r="I81" s="22">
        <v>0.11656</v>
      </c>
      <c r="J81" s="21">
        <v>8.0204000000000004</v>
      </c>
      <c r="K81" s="21">
        <v>128.21</v>
      </c>
      <c r="L81" s="22">
        <v>4.2735999999999998E-3</v>
      </c>
      <c r="M81" s="21">
        <v>0.29576999999999998</v>
      </c>
    </row>
    <row r="82" spans="1:13" x14ac:dyDescent="0.3">
      <c r="A82" s="2">
        <v>1.639</v>
      </c>
      <c r="B82" s="21">
        <v>128.21</v>
      </c>
      <c r="C82" s="22">
        <v>6.4105E-4</v>
      </c>
      <c r="D82" s="21">
        <v>4.3566000000000001E-2</v>
      </c>
      <c r="E82" s="21">
        <v>128.21</v>
      </c>
      <c r="F82" s="22">
        <v>1.8058E-3</v>
      </c>
      <c r="G82" s="21">
        <v>0.12263</v>
      </c>
      <c r="H82" s="21">
        <v>128.21</v>
      </c>
      <c r="I82" s="22">
        <v>0.11656</v>
      </c>
      <c r="J82" s="21">
        <v>7.8929999999999998</v>
      </c>
      <c r="K82" s="21">
        <v>128.21</v>
      </c>
      <c r="L82" s="22">
        <v>4.2735999999999998E-3</v>
      </c>
      <c r="M82" s="21">
        <v>0.29110000000000003</v>
      </c>
    </row>
    <row r="83" spans="1:13" x14ac:dyDescent="0.3">
      <c r="A83" s="2">
        <v>2.7320000000000002</v>
      </c>
      <c r="B83" s="21">
        <v>128.21</v>
      </c>
      <c r="C83" s="22">
        <v>6.4105E-4</v>
      </c>
      <c r="D83" s="21">
        <v>4.2866000000000001E-2</v>
      </c>
      <c r="E83" s="21">
        <v>128.21</v>
      </c>
      <c r="F83" s="22">
        <v>1.8058E-3</v>
      </c>
      <c r="G83" s="21">
        <v>0.12066</v>
      </c>
      <c r="H83" s="21">
        <v>128.22</v>
      </c>
      <c r="I83" s="22">
        <v>0.11656</v>
      </c>
      <c r="J83" s="21">
        <v>7.7656999999999998</v>
      </c>
      <c r="K83" s="21">
        <v>128.21</v>
      </c>
      <c r="L83" s="22">
        <v>4.2735999999999998E-3</v>
      </c>
      <c r="M83" s="21">
        <v>0.28643000000000002</v>
      </c>
    </row>
    <row r="84" spans="1:13" x14ac:dyDescent="0.3">
      <c r="A84" s="2">
        <v>3.8250000000000002</v>
      </c>
      <c r="B84" s="21">
        <v>128.21</v>
      </c>
      <c r="C84" s="22">
        <v>6.4105E-4</v>
      </c>
      <c r="D84" s="21">
        <v>4.2165000000000001E-2</v>
      </c>
      <c r="E84" s="21">
        <v>128.21</v>
      </c>
      <c r="F84" s="22">
        <v>1.8058E-3</v>
      </c>
      <c r="G84" s="21">
        <v>0.11867999999999999</v>
      </c>
      <c r="H84" s="21">
        <v>128.22</v>
      </c>
      <c r="I84" s="22">
        <v>0.11656</v>
      </c>
      <c r="J84" s="21">
        <v>7.6383000000000001</v>
      </c>
      <c r="K84" s="21">
        <v>128.21</v>
      </c>
      <c r="L84" s="22">
        <v>4.2735999999999998E-3</v>
      </c>
      <c r="M84" s="21">
        <v>0.28176000000000001</v>
      </c>
    </row>
    <row r="85" spans="1:13" x14ac:dyDescent="0.3">
      <c r="A85" s="2">
        <v>4.9169999999999998</v>
      </c>
      <c r="B85" s="21">
        <v>128.21</v>
      </c>
      <c r="C85" s="22">
        <v>6.4103999999999995E-4</v>
      </c>
      <c r="D85" s="21">
        <v>4.1465000000000002E-2</v>
      </c>
      <c r="E85" s="21">
        <v>128.21</v>
      </c>
      <c r="F85" s="22">
        <v>1.8058E-3</v>
      </c>
      <c r="G85" s="21">
        <v>0.11670999999999999</v>
      </c>
      <c r="H85" s="21">
        <v>128.21</v>
      </c>
      <c r="I85" s="22">
        <v>0.11656</v>
      </c>
      <c r="J85" s="21">
        <v>7.5109000000000004</v>
      </c>
      <c r="K85" s="21">
        <v>128.21</v>
      </c>
      <c r="L85" s="22">
        <v>4.2735999999999998E-3</v>
      </c>
      <c r="M85" s="21">
        <v>0.27709</v>
      </c>
    </row>
    <row r="86" spans="1:13" x14ac:dyDescent="0.3">
      <c r="A86" s="2">
        <v>6.01</v>
      </c>
      <c r="B86" s="21">
        <v>128.21</v>
      </c>
      <c r="C86" s="22">
        <v>6.4103000000000001E-4</v>
      </c>
      <c r="D86" s="21">
        <v>4.0765000000000003E-2</v>
      </c>
      <c r="E86" s="21">
        <v>128.21</v>
      </c>
      <c r="F86" s="22">
        <v>1.8056999999999999E-3</v>
      </c>
      <c r="G86" s="21">
        <v>0.11473999999999999</v>
      </c>
      <c r="H86" s="21">
        <v>128.21</v>
      </c>
      <c r="I86" s="22">
        <v>0.11655</v>
      </c>
      <c r="J86" s="21">
        <v>7.3836000000000004</v>
      </c>
      <c r="K86" s="21">
        <v>128.21</v>
      </c>
      <c r="L86" s="22">
        <v>4.2735000000000004E-3</v>
      </c>
      <c r="M86" s="21">
        <v>0.27242</v>
      </c>
    </row>
    <row r="87" spans="1:13" x14ac:dyDescent="0.3">
      <c r="A87" s="2">
        <v>7.1029999999999998</v>
      </c>
      <c r="B87" s="21">
        <v>128.19999999999999</v>
      </c>
      <c r="C87" s="22">
        <v>6.4101999999999996E-4</v>
      </c>
      <c r="D87" s="21">
        <v>4.0064000000000002E-2</v>
      </c>
      <c r="E87" s="21">
        <v>128.19999999999999</v>
      </c>
      <c r="F87" s="22">
        <v>1.8056999999999999E-3</v>
      </c>
      <c r="G87" s="21">
        <v>0.11276</v>
      </c>
      <c r="H87" s="21">
        <v>128.19999999999999</v>
      </c>
      <c r="I87" s="22">
        <v>0.11655</v>
      </c>
      <c r="J87" s="21">
        <v>7.2561999999999998</v>
      </c>
      <c r="K87" s="21">
        <v>128.21</v>
      </c>
      <c r="L87" s="22">
        <v>4.2735000000000004E-3</v>
      </c>
      <c r="M87" s="21">
        <v>0.26774999999999999</v>
      </c>
    </row>
    <row r="88" spans="1:13" x14ac:dyDescent="0.3">
      <c r="A88" s="2">
        <v>8.1950000000000003</v>
      </c>
      <c r="B88" s="21">
        <v>128.19999999999999</v>
      </c>
      <c r="C88" s="22">
        <v>6.4101000000000002E-4</v>
      </c>
      <c r="D88" s="21">
        <v>3.9364000000000003E-2</v>
      </c>
      <c r="E88" s="21">
        <v>128.19999999999999</v>
      </c>
      <c r="F88" s="22">
        <v>1.8056999999999999E-3</v>
      </c>
      <c r="G88" s="21">
        <v>0.11079</v>
      </c>
      <c r="H88" s="21">
        <v>128.19999999999999</v>
      </c>
      <c r="I88" s="22">
        <v>0.11655</v>
      </c>
      <c r="J88" s="21">
        <v>7.1288999999999998</v>
      </c>
      <c r="K88" s="21">
        <v>128.19999999999999</v>
      </c>
      <c r="L88" s="22">
        <v>4.2735000000000004E-3</v>
      </c>
      <c r="M88" s="21">
        <v>0.26307999999999998</v>
      </c>
    </row>
    <row r="89" spans="1:13" x14ac:dyDescent="0.3">
      <c r="A89" s="2">
        <v>9.2880000000000003</v>
      </c>
      <c r="B89" s="21">
        <v>128.19999999999999</v>
      </c>
      <c r="C89" s="22">
        <v>6.4099999999999997E-4</v>
      </c>
      <c r="D89" s="21">
        <v>3.8663000000000003E-2</v>
      </c>
      <c r="E89" s="21">
        <v>128.19999999999999</v>
      </c>
      <c r="F89" s="22">
        <v>1.8056000000000001E-3</v>
      </c>
      <c r="G89" s="21">
        <v>0.10882</v>
      </c>
      <c r="H89" s="21">
        <v>128.19999999999999</v>
      </c>
      <c r="I89" s="22">
        <v>0.11654</v>
      </c>
      <c r="J89" s="21">
        <v>7.0015000000000001</v>
      </c>
      <c r="K89" s="21">
        <v>128.19999999999999</v>
      </c>
      <c r="L89" s="22">
        <v>4.2735000000000004E-3</v>
      </c>
      <c r="M89" s="21">
        <v>0.25840999999999997</v>
      </c>
    </row>
    <row r="90" spans="1:13" x14ac:dyDescent="0.3">
      <c r="A90" s="2">
        <v>10.381</v>
      </c>
      <c r="B90" s="21">
        <v>128.19999999999999</v>
      </c>
      <c r="C90" s="22">
        <v>6.4099000000000003E-4</v>
      </c>
      <c r="D90" s="21">
        <v>3.7962999999999997E-2</v>
      </c>
      <c r="E90" s="21">
        <v>128.19999999999999</v>
      </c>
      <c r="F90" s="22">
        <v>1.8056000000000001E-3</v>
      </c>
      <c r="G90" s="21">
        <v>0.10684</v>
      </c>
      <c r="H90" s="21">
        <v>128.19</v>
      </c>
      <c r="I90" s="22">
        <v>0.11654</v>
      </c>
      <c r="J90" s="21">
        <v>6.8742000000000001</v>
      </c>
      <c r="K90" s="21">
        <v>128.19999999999999</v>
      </c>
      <c r="L90" s="22">
        <v>4.2734000000000001E-3</v>
      </c>
      <c r="M90" s="21">
        <v>0.25374000000000002</v>
      </c>
    </row>
    <row r="91" spans="1:13" x14ac:dyDescent="0.3">
      <c r="A91" s="2">
        <v>11.474</v>
      </c>
      <c r="B91" s="21">
        <v>128.19999999999999</v>
      </c>
      <c r="C91" s="22">
        <v>6.4097999999999998E-4</v>
      </c>
      <c r="D91" s="21">
        <v>3.7262000000000003E-2</v>
      </c>
      <c r="E91" s="21">
        <v>128.19999999999999</v>
      </c>
      <c r="F91" s="22">
        <v>1.8056000000000001E-3</v>
      </c>
      <c r="G91" s="21">
        <v>0.10487</v>
      </c>
      <c r="H91" s="21">
        <v>128.19</v>
      </c>
      <c r="I91" s="22">
        <v>0.11654</v>
      </c>
      <c r="J91" s="21">
        <v>6.7468000000000004</v>
      </c>
      <c r="K91" s="21">
        <v>128.19999999999999</v>
      </c>
      <c r="L91" s="22">
        <v>4.2734000000000001E-3</v>
      </c>
      <c r="M91" s="21">
        <v>0.24907000000000001</v>
      </c>
    </row>
    <row r="92" spans="1:13" x14ac:dyDescent="0.3">
      <c r="A92" s="2">
        <v>12.566000000000001</v>
      </c>
      <c r="B92" s="21">
        <v>128.21</v>
      </c>
      <c r="C92" s="22">
        <v>6.4106999999999999E-4</v>
      </c>
      <c r="D92" s="21">
        <v>3.6561999999999997E-2</v>
      </c>
      <c r="E92" s="21">
        <v>128.21</v>
      </c>
      <c r="F92" s="22">
        <v>1.8058E-3</v>
      </c>
      <c r="G92" s="21">
        <v>0.10290000000000001</v>
      </c>
      <c r="H92" s="21">
        <v>128.21</v>
      </c>
      <c r="I92" s="22">
        <v>0.11655</v>
      </c>
      <c r="J92" s="21">
        <v>6.6195000000000004</v>
      </c>
      <c r="K92" s="21">
        <v>128.22</v>
      </c>
      <c r="L92" s="22">
        <v>4.274E-3</v>
      </c>
      <c r="M92" s="21">
        <v>0.24440000000000001</v>
      </c>
    </row>
    <row r="93" spans="1:13" x14ac:dyDescent="0.3">
      <c r="A93" s="2">
        <v>13.659000000000001</v>
      </c>
      <c r="B93" s="21">
        <v>128.27000000000001</v>
      </c>
      <c r="C93" s="22">
        <v>6.4136E-4</v>
      </c>
      <c r="D93" s="21">
        <v>3.5860999999999997E-2</v>
      </c>
      <c r="E93" s="21">
        <v>128.27000000000001</v>
      </c>
      <c r="F93" s="22">
        <v>1.8066E-3</v>
      </c>
      <c r="G93" s="21">
        <v>0.10092</v>
      </c>
      <c r="H93" s="21">
        <v>128.27000000000001</v>
      </c>
      <c r="I93" s="22">
        <v>0.11661000000000001</v>
      </c>
      <c r="J93" s="21">
        <v>6.4920999999999998</v>
      </c>
      <c r="K93" s="21">
        <v>128.27000000000001</v>
      </c>
      <c r="L93" s="22">
        <v>4.2757999999999997E-3</v>
      </c>
      <c r="M93" s="21">
        <v>0.23973</v>
      </c>
    </row>
    <row r="94" spans="1:13" x14ac:dyDescent="0.3">
      <c r="A94" s="2">
        <v>14.752000000000001</v>
      </c>
      <c r="B94" s="21">
        <v>128.33000000000001</v>
      </c>
      <c r="C94" s="22">
        <v>6.4165000000000001E-4</v>
      </c>
      <c r="D94" s="21">
        <v>3.5160999999999998E-2</v>
      </c>
      <c r="E94" s="21">
        <v>128.33000000000001</v>
      </c>
      <c r="F94" s="22">
        <v>1.8075000000000001E-3</v>
      </c>
      <c r="G94" s="21">
        <v>9.8950999999999997E-2</v>
      </c>
      <c r="H94" s="21">
        <v>128.33000000000001</v>
      </c>
      <c r="I94" s="22">
        <v>0.11666</v>
      </c>
      <c r="J94" s="21">
        <v>6.3647</v>
      </c>
      <c r="K94" s="21">
        <v>128.33000000000001</v>
      </c>
      <c r="L94" s="22">
        <v>4.2776999999999997E-3</v>
      </c>
      <c r="M94" s="21">
        <v>0.23505999999999999</v>
      </c>
    </row>
    <row r="95" spans="1:13" x14ac:dyDescent="0.3">
      <c r="A95" s="2">
        <v>15.843999999999999</v>
      </c>
      <c r="B95" s="21">
        <v>128.38999999999999</v>
      </c>
      <c r="C95" s="22">
        <v>6.4192999999999997E-4</v>
      </c>
      <c r="D95" s="21">
        <v>3.4459999999999998E-2</v>
      </c>
      <c r="E95" s="21">
        <v>128.38999999999999</v>
      </c>
      <c r="F95" s="22">
        <v>1.8083000000000001E-3</v>
      </c>
      <c r="G95" s="21">
        <v>9.6976999999999994E-2</v>
      </c>
      <c r="H95" s="21">
        <v>128.38999999999999</v>
      </c>
      <c r="I95" s="22">
        <v>0.11672</v>
      </c>
      <c r="J95" s="21">
        <v>6.2373000000000003</v>
      </c>
      <c r="K95" s="21">
        <v>128.38999999999999</v>
      </c>
      <c r="L95" s="22">
        <v>4.2795000000000003E-3</v>
      </c>
      <c r="M95" s="21">
        <v>0.23039000000000001</v>
      </c>
    </row>
    <row r="96" spans="1:13" x14ac:dyDescent="0.3">
      <c r="A96" s="2">
        <v>16.937000000000001</v>
      </c>
      <c r="B96" s="21">
        <v>128.44</v>
      </c>
      <c r="C96" s="22">
        <v>6.4221999999999999E-4</v>
      </c>
      <c r="D96" s="21">
        <v>3.3758999999999997E-2</v>
      </c>
      <c r="E96" s="21">
        <v>128.44999999999999</v>
      </c>
      <c r="F96" s="22">
        <v>1.8090999999999999E-3</v>
      </c>
      <c r="G96" s="21">
        <v>9.5003000000000004E-2</v>
      </c>
      <c r="H96" s="21">
        <v>128.44999999999999</v>
      </c>
      <c r="I96" s="22">
        <v>0.11677</v>
      </c>
      <c r="J96" s="21">
        <v>6.1098999999999997</v>
      </c>
      <c r="K96" s="21">
        <v>128.44</v>
      </c>
      <c r="L96" s="22">
        <v>4.2813E-3</v>
      </c>
      <c r="M96" s="21">
        <v>0.22570999999999999</v>
      </c>
    </row>
    <row r="97" spans="1:13" x14ac:dyDescent="0.3">
      <c r="A97" s="2">
        <v>18.03</v>
      </c>
      <c r="B97" s="21">
        <v>128.5</v>
      </c>
      <c r="C97" s="22">
        <v>6.4251E-4</v>
      </c>
      <c r="D97" s="21">
        <v>3.3057999999999997E-2</v>
      </c>
      <c r="E97" s="21">
        <v>128.5</v>
      </c>
      <c r="F97" s="22">
        <v>1.8098999999999999E-3</v>
      </c>
      <c r="G97" s="21">
        <v>9.3029000000000001E-2</v>
      </c>
      <c r="H97" s="21">
        <v>128.51</v>
      </c>
      <c r="I97" s="22">
        <v>0.11683</v>
      </c>
      <c r="J97" s="21">
        <v>5.9824999999999999</v>
      </c>
      <c r="K97" s="21">
        <v>128.5</v>
      </c>
      <c r="L97" s="22">
        <v>4.2832E-3</v>
      </c>
      <c r="M97" s="21">
        <v>0.22103999999999999</v>
      </c>
    </row>
    <row r="98" spans="1:13" x14ac:dyDescent="0.3">
      <c r="A98" s="2">
        <v>19.12</v>
      </c>
      <c r="B98" s="21">
        <v>128.56</v>
      </c>
      <c r="C98" s="22">
        <v>6.4280000000000001E-4</v>
      </c>
      <c r="D98" s="21">
        <v>3.2356999999999997E-2</v>
      </c>
      <c r="E98" s="21">
        <v>128.56</v>
      </c>
      <c r="F98" s="22">
        <v>1.8106999999999999E-3</v>
      </c>
      <c r="G98" s="21">
        <v>9.1054999999999997E-2</v>
      </c>
      <c r="H98" s="21">
        <v>128.57</v>
      </c>
      <c r="I98" s="22">
        <v>0.11688999999999999</v>
      </c>
      <c r="J98" s="21">
        <v>5.8550000000000004</v>
      </c>
      <c r="K98" s="21">
        <v>128.55000000000001</v>
      </c>
      <c r="L98" s="22">
        <v>4.2849999999999997E-3</v>
      </c>
      <c r="M98" s="21">
        <v>0.21637000000000001</v>
      </c>
    </row>
    <row r="99" spans="1:13" x14ac:dyDescent="0.3">
      <c r="A99" s="2">
        <v>20.22</v>
      </c>
      <c r="B99" s="21">
        <v>128.62</v>
      </c>
      <c r="C99" s="22">
        <v>6.4309000000000002E-4</v>
      </c>
      <c r="D99" s="21">
        <v>3.1656999999999998E-2</v>
      </c>
      <c r="E99" s="21">
        <v>128.62</v>
      </c>
      <c r="F99" s="22">
        <v>1.8116E-3</v>
      </c>
      <c r="G99" s="21">
        <v>8.9080999999999994E-2</v>
      </c>
      <c r="H99" s="21">
        <v>128.63999999999999</v>
      </c>
      <c r="I99" s="22">
        <v>0.11694</v>
      </c>
      <c r="J99" s="21">
        <v>5.7275999999999998</v>
      </c>
      <c r="K99" s="21">
        <v>128.61000000000001</v>
      </c>
      <c r="L99" s="22">
        <v>4.2868999999999997E-3</v>
      </c>
      <c r="M99" s="21">
        <v>0.2117</v>
      </c>
    </row>
    <row r="100" spans="1:13" x14ac:dyDescent="0.3">
      <c r="A100" s="2">
        <v>21.31</v>
      </c>
      <c r="B100" s="21">
        <v>128.31</v>
      </c>
      <c r="C100" s="22">
        <v>6.4154000000000001E-4</v>
      </c>
      <c r="D100" s="21">
        <v>3.0953999999999999E-2</v>
      </c>
      <c r="E100" s="21">
        <v>128.31</v>
      </c>
      <c r="F100" s="22">
        <v>1.8071999999999999E-3</v>
      </c>
      <c r="G100" s="21">
        <v>8.7103E-2</v>
      </c>
      <c r="H100" s="21">
        <v>128.33000000000001</v>
      </c>
      <c r="I100" s="22">
        <v>0.11666</v>
      </c>
      <c r="J100" s="21">
        <v>5.5998999999999999</v>
      </c>
      <c r="K100" s="21">
        <v>128.30000000000001</v>
      </c>
      <c r="L100" s="22">
        <v>4.2766000000000002E-3</v>
      </c>
      <c r="M100" s="21">
        <v>0.20702000000000001</v>
      </c>
    </row>
    <row r="101" spans="1:13" x14ac:dyDescent="0.3">
      <c r="A101" s="2">
        <v>22.4</v>
      </c>
      <c r="B101" s="21">
        <v>127.95</v>
      </c>
      <c r="C101" s="22">
        <v>6.3973000000000003E-4</v>
      </c>
      <c r="D101" s="21">
        <v>3.0254E-2</v>
      </c>
      <c r="E101" s="21">
        <v>127.95</v>
      </c>
      <c r="F101" s="22">
        <v>1.8021000000000001E-3</v>
      </c>
      <c r="G101" s="21">
        <v>8.5128999999999996E-2</v>
      </c>
      <c r="H101" s="21">
        <v>127.97</v>
      </c>
      <c r="I101" s="22">
        <v>0.11634</v>
      </c>
      <c r="J101" s="21">
        <v>5.4725000000000001</v>
      </c>
      <c r="K101" s="21">
        <v>127.93</v>
      </c>
      <c r="L101" s="22">
        <v>4.2645000000000001E-3</v>
      </c>
      <c r="M101" s="21">
        <v>0.20233999999999999</v>
      </c>
    </row>
    <row r="102" spans="1:13" x14ac:dyDescent="0.3">
      <c r="A102" s="2">
        <v>23.49</v>
      </c>
      <c r="B102" s="21">
        <v>127.58</v>
      </c>
      <c r="C102" s="22">
        <v>6.3792000000000005E-4</v>
      </c>
      <c r="D102" s="21">
        <v>2.9555000000000001E-2</v>
      </c>
      <c r="E102" s="21">
        <v>127.59</v>
      </c>
      <c r="F102" s="22">
        <v>1.797E-3</v>
      </c>
      <c r="G102" s="21">
        <v>8.3159999999999998E-2</v>
      </c>
      <c r="H102" s="21">
        <v>127.61</v>
      </c>
      <c r="I102" s="22">
        <v>0.11601</v>
      </c>
      <c r="J102" s="21">
        <v>5.3455000000000004</v>
      </c>
      <c r="K102" s="21">
        <v>127.57</v>
      </c>
      <c r="L102" s="22">
        <v>4.2523999999999999E-3</v>
      </c>
      <c r="M102" s="21">
        <v>0.19767999999999999</v>
      </c>
    </row>
    <row r="103" spans="1:13" x14ac:dyDescent="0.3">
      <c r="A103" s="2">
        <v>24.59</v>
      </c>
      <c r="B103" s="21">
        <v>127.22</v>
      </c>
      <c r="C103" s="22">
        <v>6.3612E-4</v>
      </c>
      <c r="D103" s="21">
        <v>2.8858000000000002E-2</v>
      </c>
      <c r="E103" s="21">
        <v>127.23</v>
      </c>
      <c r="F103" s="22">
        <v>1.792E-3</v>
      </c>
      <c r="G103" s="21">
        <v>8.1197000000000005E-2</v>
      </c>
      <c r="H103" s="21">
        <v>127.25</v>
      </c>
      <c r="I103" s="22">
        <v>0.11568000000000001</v>
      </c>
      <c r="J103" s="21">
        <v>5.2187999999999999</v>
      </c>
      <c r="K103" s="21">
        <v>127.21</v>
      </c>
      <c r="L103" s="22">
        <v>4.2402999999999998E-3</v>
      </c>
      <c r="M103" s="21">
        <v>0.19303000000000001</v>
      </c>
    </row>
    <row r="104" spans="1:13" x14ac:dyDescent="0.3">
      <c r="A104" s="2">
        <v>25.68</v>
      </c>
      <c r="B104" s="21">
        <v>126.86</v>
      </c>
      <c r="C104" s="22">
        <v>6.3431999999999996E-4</v>
      </c>
      <c r="D104" s="21">
        <v>2.8162E-2</v>
      </c>
      <c r="E104" s="21">
        <v>126.87</v>
      </c>
      <c r="F104" s="22">
        <v>1.7868999999999999E-3</v>
      </c>
      <c r="G104" s="21">
        <v>7.9239000000000004E-2</v>
      </c>
      <c r="H104" s="21">
        <v>126.89</v>
      </c>
      <c r="I104" s="22">
        <v>0.11536</v>
      </c>
      <c r="J104" s="21">
        <v>5.0926</v>
      </c>
      <c r="K104" s="21">
        <v>126.85</v>
      </c>
      <c r="L104" s="22">
        <v>4.2282999999999999E-3</v>
      </c>
      <c r="M104" s="21">
        <v>0.18839</v>
      </c>
    </row>
    <row r="105" spans="1:13" x14ac:dyDescent="0.3">
      <c r="A105" s="2">
        <v>26.77</v>
      </c>
      <c r="B105" s="21">
        <v>126.5</v>
      </c>
      <c r="C105" s="22">
        <v>6.3252000000000002E-4</v>
      </c>
      <c r="D105" s="21">
        <v>2.7469E-2</v>
      </c>
      <c r="E105" s="21">
        <v>126.51</v>
      </c>
      <c r="F105" s="22">
        <v>1.7818000000000001E-3</v>
      </c>
      <c r="G105" s="21">
        <v>7.7285999999999994E-2</v>
      </c>
      <c r="H105" s="21">
        <v>126.53</v>
      </c>
      <c r="I105" s="22">
        <v>0.11502999999999999</v>
      </c>
      <c r="J105" s="21">
        <v>4.9667000000000003</v>
      </c>
      <c r="K105" s="21">
        <v>126.49</v>
      </c>
      <c r="L105" s="22">
        <v>4.2163000000000001E-3</v>
      </c>
      <c r="M105" s="21">
        <v>0.18376000000000001</v>
      </c>
    </row>
    <row r="106" spans="1:13" x14ac:dyDescent="0.3">
      <c r="A106" s="2">
        <v>27.86</v>
      </c>
      <c r="B106" s="21">
        <v>126.15</v>
      </c>
      <c r="C106" s="22">
        <v>6.3073000000000003E-4</v>
      </c>
      <c r="D106" s="21">
        <v>2.6776999999999999E-2</v>
      </c>
      <c r="E106" s="21">
        <v>126.15</v>
      </c>
      <c r="F106" s="22">
        <v>1.7768E-3</v>
      </c>
      <c r="G106" s="21">
        <v>7.5338000000000002E-2</v>
      </c>
      <c r="H106" s="21">
        <v>126.18</v>
      </c>
      <c r="I106" s="22">
        <v>0.11471000000000001</v>
      </c>
      <c r="J106" s="21">
        <v>4.8411999999999997</v>
      </c>
      <c r="K106" s="21">
        <v>126.13</v>
      </c>
      <c r="L106" s="22">
        <v>4.2043000000000002E-3</v>
      </c>
      <c r="M106" s="21">
        <v>0.17913999999999999</v>
      </c>
    </row>
    <row r="107" spans="1:13" x14ac:dyDescent="0.3">
      <c r="A107" s="2">
        <v>28.96</v>
      </c>
      <c r="B107" s="21">
        <v>125.34</v>
      </c>
      <c r="C107" s="22">
        <v>6.2671000000000005E-4</v>
      </c>
      <c r="D107" s="21">
        <v>2.6086999999999999E-2</v>
      </c>
      <c r="E107" s="21">
        <v>125.35</v>
      </c>
      <c r="F107" s="22">
        <v>1.7654999999999999E-3</v>
      </c>
      <c r="G107" s="21">
        <v>7.3397000000000004E-2</v>
      </c>
      <c r="H107" s="21">
        <v>125.37</v>
      </c>
      <c r="I107" s="22">
        <v>0.11398</v>
      </c>
      <c r="J107" s="21">
        <v>4.7161</v>
      </c>
      <c r="K107" s="21">
        <v>125.33</v>
      </c>
      <c r="L107" s="22">
        <v>4.1774999999999998E-3</v>
      </c>
      <c r="M107" s="21">
        <v>0.17452999999999999</v>
      </c>
    </row>
    <row r="108" spans="1:13" x14ac:dyDescent="0.3">
      <c r="A108" s="2">
        <v>30.05</v>
      </c>
      <c r="B108" s="21">
        <v>123.92</v>
      </c>
      <c r="C108" s="22">
        <v>6.1959999999999999E-4</v>
      </c>
      <c r="D108" s="21">
        <v>2.5403999999999999E-2</v>
      </c>
      <c r="E108" s="21">
        <v>123.92</v>
      </c>
      <c r="F108" s="22">
        <v>1.7454E-3</v>
      </c>
      <c r="G108" s="21">
        <v>7.1473999999999996E-2</v>
      </c>
      <c r="H108" s="21">
        <v>123.95</v>
      </c>
      <c r="I108" s="22">
        <v>0.11268</v>
      </c>
      <c r="J108" s="21">
        <v>4.5922000000000001</v>
      </c>
      <c r="K108" s="21">
        <v>123.9</v>
      </c>
      <c r="L108" s="22">
        <v>4.1301000000000003E-3</v>
      </c>
      <c r="M108" s="21">
        <v>0.16996</v>
      </c>
    </row>
    <row r="109" spans="1:13" x14ac:dyDescent="0.3">
      <c r="A109" s="2">
        <v>31.14</v>
      </c>
      <c r="B109" s="21">
        <v>122.5</v>
      </c>
      <c r="C109" s="22">
        <v>6.1249000000000004E-4</v>
      </c>
      <c r="D109" s="21">
        <v>2.4729000000000001E-2</v>
      </c>
      <c r="E109" s="21">
        <v>122.5</v>
      </c>
      <c r="F109" s="22">
        <v>1.7254E-3</v>
      </c>
      <c r="G109" s="21">
        <v>6.9571999999999995E-2</v>
      </c>
      <c r="H109" s="21">
        <v>122.52</v>
      </c>
      <c r="I109" s="22">
        <v>0.11138000000000001</v>
      </c>
      <c r="J109" s="21">
        <v>4.4696999999999996</v>
      </c>
      <c r="K109" s="21">
        <v>122.48</v>
      </c>
      <c r="L109" s="22">
        <v>4.0828000000000001E-3</v>
      </c>
      <c r="M109" s="21">
        <v>0.16544</v>
      </c>
    </row>
    <row r="110" spans="1:13" x14ac:dyDescent="0.3">
      <c r="A110" s="2">
        <v>32.24</v>
      </c>
      <c r="B110" s="21">
        <v>121.08</v>
      </c>
      <c r="C110" s="22">
        <v>6.0539000000000003E-4</v>
      </c>
      <c r="D110" s="21">
        <v>2.4060000000000002E-2</v>
      </c>
      <c r="E110" s="21">
        <v>121.08</v>
      </c>
      <c r="F110" s="22">
        <v>1.7053999999999999E-3</v>
      </c>
      <c r="G110" s="21">
        <v>6.769E-2</v>
      </c>
      <c r="H110" s="21">
        <v>121.1</v>
      </c>
      <c r="I110" s="22">
        <v>0.11008999999999999</v>
      </c>
      <c r="J110" s="21">
        <v>4.3484999999999996</v>
      </c>
      <c r="K110" s="21">
        <v>121.07</v>
      </c>
      <c r="L110" s="22">
        <v>4.0355E-3</v>
      </c>
      <c r="M110" s="21">
        <v>0.16097</v>
      </c>
    </row>
    <row r="111" spans="1:13" x14ac:dyDescent="0.3">
      <c r="A111" s="2">
        <v>33.33</v>
      </c>
      <c r="B111" s="21">
        <v>119.66</v>
      </c>
      <c r="C111" s="22">
        <v>5.9829999999999996E-4</v>
      </c>
      <c r="D111" s="21">
        <v>2.3397999999999999E-2</v>
      </c>
      <c r="E111" s="21">
        <v>119.66</v>
      </c>
      <c r="F111" s="22">
        <v>1.6854000000000001E-3</v>
      </c>
      <c r="G111" s="21">
        <v>6.5827999999999998E-2</v>
      </c>
      <c r="H111" s="21">
        <v>119.68</v>
      </c>
      <c r="I111" s="22">
        <v>0.10879999999999999</v>
      </c>
      <c r="J111" s="21">
        <v>4.2287999999999997</v>
      </c>
      <c r="K111" s="21">
        <v>119.65</v>
      </c>
      <c r="L111" s="22">
        <v>3.9883000000000002E-3</v>
      </c>
      <c r="M111" s="21">
        <v>0.15654000000000001</v>
      </c>
    </row>
    <row r="112" spans="1:13" x14ac:dyDescent="0.3">
      <c r="A112" s="2">
        <v>34.42</v>
      </c>
      <c r="B112" s="21">
        <v>118.24</v>
      </c>
      <c r="C112" s="22">
        <v>5.9122000000000005E-4</v>
      </c>
      <c r="D112" s="21">
        <v>2.2742999999999999E-2</v>
      </c>
      <c r="E112" s="21">
        <v>118.25</v>
      </c>
      <c r="F112" s="22">
        <v>1.6655000000000001E-3</v>
      </c>
      <c r="G112" s="21">
        <v>6.3986000000000001E-2</v>
      </c>
      <c r="H112" s="21">
        <v>118.26</v>
      </c>
      <c r="I112" s="22">
        <v>0.10750999999999999</v>
      </c>
      <c r="J112" s="21">
        <v>4.1104000000000003</v>
      </c>
      <c r="K112" s="21">
        <v>118.23</v>
      </c>
      <c r="L112" s="22">
        <v>3.9411000000000003E-3</v>
      </c>
      <c r="M112" s="21">
        <v>0.15215000000000001</v>
      </c>
    </row>
    <row r="113" spans="1:13" x14ac:dyDescent="0.3">
      <c r="A113" s="2">
        <v>35.51</v>
      </c>
      <c r="B113" s="21">
        <v>116.83</v>
      </c>
      <c r="C113" s="22">
        <v>5.8414999999999997E-4</v>
      </c>
      <c r="D113" s="21">
        <v>2.2095E-2</v>
      </c>
      <c r="E113" s="21">
        <v>116.83</v>
      </c>
      <c r="F113" s="22">
        <v>1.6455E-3</v>
      </c>
      <c r="G113" s="21">
        <v>6.2163999999999997E-2</v>
      </c>
      <c r="H113" s="21">
        <v>116.84</v>
      </c>
      <c r="I113" s="22">
        <v>0.10621999999999999</v>
      </c>
      <c r="J113" s="21">
        <v>3.9933999999999998</v>
      </c>
      <c r="K113" s="21">
        <v>116.82</v>
      </c>
      <c r="L113" s="22">
        <v>3.8939999999999999E-3</v>
      </c>
      <c r="M113" s="21">
        <v>0.14781</v>
      </c>
    </row>
    <row r="114" spans="1:13" x14ac:dyDescent="0.3">
      <c r="A114" s="2">
        <v>36.61</v>
      </c>
      <c r="B114" s="21">
        <v>115.05</v>
      </c>
      <c r="C114" s="22">
        <v>5.7525000000000002E-4</v>
      </c>
      <c r="D114" s="21">
        <v>2.1455999999999999E-2</v>
      </c>
      <c r="E114" s="21">
        <v>115.05</v>
      </c>
      <c r="F114" s="22">
        <v>1.6205E-3</v>
      </c>
      <c r="G114" s="21">
        <v>6.0365000000000002E-2</v>
      </c>
      <c r="H114" s="21">
        <v>115.07</v>
      </c>
      <c r="I114" s="22">
        <v>0.10460999999999999</v>
      </c>
      <c r="J114" s="21">
        <v>3.8776999999999999</v>
      </c>
      <c r="K114" s="21">
        <v>115.04</v>
      </c>
      <c r="L114" s="22">
        <v>3.8346000000000001E-3</v>
      </c>
      <c r="M114" s="21">
        <v>0.14352000000000001</v>
      </c>
    </row>
    <row r="115" spans="1:13" x14ac:dyDescent="0.3">
      <c r="A115" s="2">
        <v>37.700000000000003</v>
      </c>
      <c r="B115" s="21">
        <v>113.23</v>
      </c>
      <c r="C115" s="22">
        <v>5.6614000000000002E-4</v>
      </c>
      <c r="D115" s="21">
        <v>2.0826999999999998E-2</v>
      </c>
      <c r="E115" s="21">
        <v>113.23</v>
      </c>
      <c r="F115" s="22">
        <v>1.5948E-3</v>
      </c>
      <c r="G115" s="21">
        <v>5.8595000000000001E-2</v>
      </c>
      <c r="H115" s="21">
        <v>113.25</v>
      </c>
      <c r="I115" s="22">
        <v>0.10296</v>
      </c>
      <c r="J115" s="21">
        <v>3.7639</v>
      </c>
      <c r="K115" s="21">
        <v>113.22</v>
      </c>
      <c r="L115" s="22">
        <v>3.7737999999999999E-3</v>
      </c>
      <c r="M115" s="21">
        <v>0.13930999999999999</v>
      </c>
    </row>
    <row r="116" spans="1:13" x14ac:dyDescent="0.3">
      <c r="A116" s="2">
        <v>38.79</v>
      </c>
      <c r="B116" s="21">
        <v>111.41</v>
      </c>
      <c r="C116" s="22">
        <v>5.5703999999999997E-4</v>
      </c>
      <c r="D116" s="21">
        <v>2.0209000000000001E-2</v>
      </c>
      <c r="E116" s="21">
        <v>111.41</v>
      </c>
      <c r="F116" s="22">
        <v>1.5692E-3</v>
      </c>
      <c r="G116" s="21">
        <v>5.6855999999999997E-2</v>
      </c>
      <c r="H116" s="21">
        <v>111.44</v>
      </c>
      <c r="I116" s="22">
        <v>0.10131</v>
      </c>
      <c r="J116" s="21">
        <v>3.6520000000000001</v>
      </c>
      <c r="K116" s="21">
        <v>111.39</v>
      </c>
      <c r="L116" s="22">
        <v>3.7131E-3</v>
      </c>
      <c r="M116" s="21">
        <v>0.13517000000000001</v>
      </c>
    </row>
    <row r="117" spans="1:13" x14ac:dyDescent="0.3">
      <c r="A117" s="2">
        <v>39.880000000000003</v>
      </c>
      <c r="B117" s="21">
        <v>109.59</v>
      </c>
      <c r="C117" s="22">
        <v>5.4796000000000001E-4</v>
      </c>
      <c r="D117" s="21">
        <v>1.9601E-2</v>
      </c>
      <c r="E117" s="21">
        <v>109.6</v>
      </c>
      <c r="F117" s="22">
        <v>1.5436E-3</v>
      </c>
      <c r="G117" s="21">
        <v>5.5146000000000001E-2</v>
      </c>
      <c r="H117" s="21">
        <v>109.62</v>
      </c>
      <c r="I117" s="22">
        <v>9.9658999999999998E-2</v>
      </c>
      <c r="J117" s="21">
        <v>3.5419999999999998</v>
      </c>
      <c r="K117" s="21">
        <v>109.57</v>
      </c>
      <c r="L117" s="22">
        <v>3.6524000000000001E-3</v>
      </c>
      <c r="M117" s="21">
        <v>0.13109999999999999</v>
      </c>
    </row>
    <row r="118" spans="1:13" x14ac:dyDescent="0.3">
      <c r="A118" s="2">
        <v>40.98</v>
      </c>
      <c r="B118" s="21">
        <v>107.78</v>
      </c>
      <c r="C118" s="22">
        <v>5.3888000000000004E-4</v>
      </c>
      <c r="D118" s="21">
        <v>1.9004E-2</v>
      </c>
      <c r="E118" s="21">
        <v>107.78</v>
      </c>
      <c r="F118" s="22">
        <v>1.5181000000000001E-3</v>
      </c>
      <c r="G118" s="21">
        <v>5.3467000000000001E-2</v>
      </c>
      <c r="H118" s="21">
        <v>107.81</v>
      </c>
      <c r="I118" s="22">
        <v>9.8013000000000003E-2</v>
      </c>
      <c r="J118" s="21">
        <v>3.4340000000000002</v>
      </c>
      <c r="K118" s="21">
        <v>107.75</v>
      </c>
      <c r="L118" s="22">
        <v>3.5918E-3</v>
      </c>
      <c r="M118" s="21">
        <v>0.12709999999999999</v>
      </c>
    </row>
    <row r="119" spans="1:13" x14ac:dyDescent="0.3">
      <c r="A119" s="2">
        <v>42.07</v>
      </c>
      <c r="B119" s="21">
        <v>105.96</v>
      </c>
      <c r="C119" s="22">
        <v>5.2981000000000002E-4</v>
      </c>
      <c r="D119" s="21">
        <v>1.8418E-2</v>
      </c>
      <c r="E119" s="21">
        <v>105.97</v>
      </c>
      <c r="F119" s="22">
        <v>1.4924999999999999E-3</v>
      </c>
      <c r="G119" s="21">
        <v>5.1817000000000002E-2</v>
      </c>
      <c r="H119" s="21">
        <v>106.01</v>
      </c>
      <c r="I119" s="22">
        <v>9.6368999999999996E-2</v>
      </c>
      <c r="J119" s="21">
        <v>3.3279999999999998</v>
      </c>
      <c r="K119" s="21">
        <v>105.94</v>
      </c>
      <c r="L119" s="22">
        <v>3.5312999999999998E-3</v>
      </c>
      <c r="M119" s="21">
        <v>0.12318</v>
      </c>
    </row>
    <row r="120" spans="1:13" x14ac:dyDescent="0.3">
      <c r="A120" s="2">
        <v>43.16</v>
      </c>
      <c r="B120" s="21">
        <v>104.63</v>
      </c>
      <c r="C120" s="22">
        <v>5.2313999999999995E-4</v>
      </c>
      <c r="D120" s="21">
        <v>1.7843000000000001E-2</v>
      </c>
      <c r="E120" s="21">
        <v>104.64</v>
      </c>
      <c r="F120" s="22">
        <v>1.4737999999999999E-3</v>
      </c>
      <c r="G120" s="21">
        <v>5.0198E-2</v>
      </c>
      <c r="H120" s="21">
        <v>104.67</v>
      </c>
      <c r="I120" s="22">
        <v>9.5158999999999994E-2</v>
      </c>
      <c r="J120" s="21">
        <v>3.2235999999999998</v>
      </c>
      <c r="K120" s="21">
        <v>104.6</v>
      </c>
      <c r="L120" s="22">
        <v>3.4867000000000001E-3</v>
      </c>
      <c r="M120" s="21">
        <v>0.11934</v>
      </c>
    </row>
    <row r="121" spans="1:13" x14ac:dyDescent="0.3">
      <c r="A121" s="2">
        <v>44.25</v>
      </c>
      <c r="B121" s="21">
        <v>103.95</v>
      </c>
      <c r="C121" s="22">
        <v>5.1975999999999997E-4</v>
      </c>
      <c r="D121" s="21">
        <v>1.7274999999999999E-2</v>
      </c>
      <c r="E121" s="21">
        <v>103.96</v>
      </c>
      <c r="F121" s="22">
        <v>1.4643E-3</v>
      </c>
      <c r="G121" s="21">
        <v>4.8599000000000003E-2</v>
      </c>
      <c r="H121" s="21">
        <v>104</v>
      </c>
      <c r="I121" s="22">
        <v>9.4546000000000005E-2</v>
      </c>
      <c r="J121" s="21">
        <v>3.1202000000000001</v>
      </c>
      <c r="K121" s="21">
        <v>103.92</v>
      </c>
      <c r="L121" s="22">
        <v>3.4640999999999999E-3</v>
      </c>
      <c r="M121" s="21">
        <v>0.11555</v>
      </c>
    </row>
    <row r="122" spans="1:13" x14ac:dyDescent="0.3">
      <c r="A122" s="2">
        <v>45.35</v>
      </c>
      <c r="B122" s="21">
        <v>103.29</v>
      </c>
      <c r="C122" s="22">
        <v>5.1645E-4</v>
      </c>
      <c r="D122" s="21">
        <v>1.6712000000000001E-2</v>
      </c>
      <c r="E122" s="21">
        <v>103.3</v>
      </c>
      <c r="F122" s="22">
        <v>1.4549000000000001E-3</v>
      </c>
      <c r="G122" s="21">
        <v>4.7011999999999998E-2</v>
      </c>
      <c r="H122" s="21">
        <v>103.34</v>
      </c>
      <c r="I122" s="22">
        <v>9.3945000000000001E-2</v>
      </c>
      <c r="J122" s="21">
        <v>3.0175999999999998</v>
      </c>
      <c r="K122" s="21">
        <v>103.26</v>
      </c>
      <c r="L122" s="22">
        <v>3.4420000000000002E-3</v>
      </c>
      <c r="M122" s="21">
        <v>0.11181000000000001</v>
      </c>
    </row>
    <row r="123" spans="1:13" x14ac:dyDescent="0.3">
      <c r="A123" s="2">
        <v>46.44</v>
      </c>
      <c r="B123" s="21">
        <v>102.64</v>
      </c>
      <c r="C123" s="22">
        <v>5.1320999999999995E-4</v>
      </c>
      <c r="D123" s="21">
        <v>1.6154000000000002E-2</v>
      </c>
      <c r="E123" s="21">
        <v>102.65</v>
      </c>
      <c r="F123" s="22">
        <v>1.4457999999999999E-3</v>
      </c>
      <c r="G123" s="21">
        <v>4.5440000000000001E-2</v>
      </c>
      <c r="H123" s="21">
        <v>102.69</v>
      </c>
      <c r="I123" s="22">
        <v>9.3355999999999995E-2</v>
      </c>
      <c r="J123" s="21">
        <v>2.9159000000000002</v>
      </c>
      <c r="K123" s="21">
        <v>102.61</v>
      </c>
      <c r="L123" s="22">
        <v>3.4202E-3</v>
      </c>
      <c r="M123" s="21">
        <v>0.10809000000000001</v>
      </c>
    </row>
    <row r="124" spans="1:13" x14ac:dyDescent="0.3">
      <c r="A124" s="2">
        <v>47.53</v>
      </c>
      <c r="B124" s="21">
        <v>102</v>
      </c>
      <c r="C124" s="22">
        <v>5.1002000000000003E-4</v>
      </c>
      <c r="D124" s="21">
        <v>1.5601E-2</v>
      </c>
      <c r="E124" s="21">
        <v>102.02</v>
      </c>
      <c r="F124" s="22">
        <v>1.4368E-3</v>
      </c>
      <c r="G124" s="21">
        <v>4.3881000000000003E-2</v>
      </c>
      <c r="H124" s="21">
        <v>102.06</v>
      </c>
      <c r="I124" s="22">
        <v>9.2777999999999999E-2</v>
      </c>
      <c r="J124" s="21">
        <v>2.8151000000000002</v>
      </c>
      <c r="K124" s="21">
        <v>101.97</v>
      </c>
      <c r="L124" s="22">
        <v>3.3988999999999998E-3</v>
      </c>
      <c r="M124" s="21">
        <v>0.10442</v>
      </c>
    </row>
    <row r="125" spans="1:13" x14ac:dyDescent="0.3">
      <c r="A125" s="2">
        <v>48.63</v>
      </c>
      <c r="B125" s="21">
        <v>101.38</v>
      </c>
      <c r="C125" s="22">
        <v>5.0690999999999996E-4</v>
      </c>
      <c r="D125" s="21">
        <v>1.5053E-2</v>
      </c>
      <c r="E125" s="21">
        <v>101.39</v>
      </c>
      <c r="F125" s="22">
        <v>1.4281000000000001E-3</v>
      </c>
      <c r="G125" s="21">
        <v>4.2335999999999999E-2</v>
      </c>
      <c r="H125" s="21">
        <v>101.43</v>
      </c>
      <c r="I125" s="22">
        <v>9.2212000000000002E-2</v>
      </c>
      <c r="J125" s="21">
        <v>2.7151000000000001</v>
      </c>
      <c r="K125" s="21">
        <v>101.34</v>
      </c>
      <c r="L125" s="22">
        <v>3.3781000000000002E-3</v>
      </c>
      <c r="M125" s="21">
        <v>0.10077999999999999</v>
      </c>
    </row>
    <row r="126" spans="1:13" x14ac:dyDescent="0.3">
      <c r="A126" s="2">
        <v>49.72</v>
      </c>
      <c r="B126" s="21">
        <v>100.71</v>
      </c>
      <c r="C126" s="22">
        <v>5.0354000000000002E-4</v>
      </c>
      <c r="D126" s="21">
        <v>1.451E-2</v>
      </c>
      <c r="E126" s="21">
        <v>100.72</v>
      </c>
      <c r="F126" s="22">
        <v>1.4185999999999999E-3</v>
      </c>
      <c r="G126" s="21">
        <v>4.0802999999999999E-2</v>
      </c>
      <c r="H126" s="21">
        <v>100.76</v>
      </c>
      <c r="I126" s="22">
        <v>9.1601000000000002E-2</v>
      </c>
      <c r="J126" s="21">
        <v>2.6158999999999999</v>
      </c>
      <c r="K126" s="21">
        <v>100.66</v>
      </c>
      <c r="L126" s="22">
        <v>3.3555E-3</v>
      </c>
      <c r="M126" s="21">
        <v>9.7183000000000005E-2</v>
      </c>
    </row>
    <row r="127" spans="1:13" x14ac:dyDescent="0.3">
      <c r="A127" s="2">
        <v>50.81</v>
      </c>
      <c r="B127" s="21">
        <v>99.174000000000007</v>
      </c>
      <c r="C127" s="22">
        <v>4.9587000000000003E-4</v>
      </c>
      <c r="D127" s="21">
        <v>1.397E-2</v>
      </c>
      <c r="E127" s="21">
        <v>99.19</v>
      </c>
      <c r="F127" s="22">
        <v>1.397E-3</v>
      </c>
      <c r="G127" s="21">
        <v>3.9278E-2</v>
      </c>
      <c r="H127" s="21">
        <v>99.244</v>
      </c>
      <c r="I127" s="22">
        <v>9.0221999999999997E-2</v>
      </c>
      <c r="J127" s="21">
        <v>2.5165000000000002</v>
      </c>
      <c r="K127" s="21">
        <v>99.123999999999995</v>
      </c>
      <c r="L127" s="22">
        <v>3.3040999999999999E-3</v>
      </c>
      <c r="M127" s="21">
        <v>9.3618999999999994E-2</v>
      </c>
    </row>
    <row r="128" spans="1:13" x14ac:dyDescent="0.3">
      <c r="A128" s="2">
        <v>51.9</v>
      </c>
      <c r="B128" s="21">
        <v>97.643000000000001</v>
      </c>
      <c r="C128" s="22">
        <v>4.8821999999999998E-4</v>
      </c>
      <c r="D128" s="21">
        <v>1.3438E-2</v>
      </c>
      <c r="E128" s="21">
        <v>97.661000000000001</v>
      </c>
      <c r="F128" s="22">
        <v>1.3755E-3</v>
      </c>
      <c r="G128" s="21">
        <v>3.7775999999999997E-2</v>
      </c>
      <c r="H128" s="21">
        <v>97.728999999999999</v>
      </c>
      <c r="I128" s="22">
        <v>8.8844000000000006E-2</v>
      </c>
      <c r="J128" s="21">
        <v>2.4186999999999999</v>
      </c>
      <c r="K128" s="21">
        <v>97.584999999999994</v>
      </c>
      <c r="L128" s="22">
        <v>3.2528000000000001E-3</v>
      </c>
      <c r="M128" s="21">
        <v>9.0104000000000004E-2</v>
      </c>
    </row>
    <row r="129" spans="1:13" x14ac:dyDescent="0.3">
      <c r="A129" s="2">
        <v>53</v>
      </c>
      <c r="B129" s="21">
        <v>96.114000000000004</v>
      </c>
      <c r="C129" s="22">
        <v>4.8056999999999999E-4</v>
      </c>
      <c r="D129" s="21">
        <v>1.2914999999999999E-2</v>
      </c>
      <c r="E129" s="21">
        <v>96.135000000000005</v>
      </c>
      <c r="F129" s="22">
        <v>1.354E-3</v>
      </c>
      <c r="G129" s="21">
        <v>3.6297999999999997E-2</v>
      </c>
      <c r="H129" s="21">
        <v>96.215000000000003</v>
      </c>
      <c r="I129" s="22">
        <v>8.7469000000000005E-2</v>
      </c>
      <c r="J129" s="21">
        <v>2.3227000000000002</v>
      </c>
      <c r="K129" s="21">
        <v>96.046999999999997</v>
      </c>
      <c r="L129" s="22">
        <v>3.2016000000000002E-3</v>
      </c>
      <c r="M129" s="21">
        <v>8.6639999999999995E-2</v>
      </c>
    </row>
    <row r="130" spans="1:13" x14ac:dyDescent="0.3">
      <c r="A130" s="2">
        <v>54.09</v>
      </c>
      <c r="B130" s="21">
        <v>94.585999999999999</v>
      </c>
      <c r="C130" s="22">
        <v>4.7292999999999999E-4</v>
      </c>
      <c r="D130" s="21">
        <v>1.2399E-2</v>
      </c>
      <c r="E130" s="21">
        <v>94.61</v>
      </c>
      <c r="F130" s="22">
        <v>1.3324999999999999E-3</v>
      </c>
      <c r="G130" s="21">
        <v>3.4844E-2</v>
      </c>
      <c r="H130" s="21">
        <v>94.703999999999994</v>
      </c>
      <c r="I130" s="22">
        <v>8.6095000000000005E-2</v>
      </c>
      <c r="J130" s="21">
        <v>2.2284000000000002</v>
      </c>
      <c r="K130" s="21">
        <v>94.512</v>
      </c>
      <c r="L130" s="22">
        <v>3.1503999999999998E-3</v>
      </c>
      <c r="M130" s="21">
        <v>8.3225999999999994E-2</v>
      </c>
    </row>
    <row r="131" spans="1:13" x14ac:dyDescent="0.3">
      <c r="A131" s="2">
        <v>55.18</v>
      </c>
      <c r="B131" s="21">
        <v>93.06</v>
      </c>
      <c r="C131" s="22">
        <v>4.6529999999999998E-4</v>
      </c>
      <c r="D131" s="21">
        <v>1.1892E-2</v>
      </c>
      <c r="E131" s="21">
        <v>93.087999999999994</v>
      </c>
      <c r="F131" s="22">
        <v>1.3110999999999999E-3</v>
      </c>
      <c r="G131" s="21">
        <v>3.3412999999999998E-2</v>
      </c>
      <c r="H131" s="21">
        <v>93.194000000000003</v>
      </c>
      <c r="I131" s="22">
        <v>8.4722000000000006E-2</v>
      </c>
      <c r="J131" s="21">
        <v>2.1358000000000001</v>
      </c>
      <c r="K131" s="21">
        <v>92.977999999999994</v>
      </c>
      <c r="L131" s="22">
        <v>3.0993000000000001E-3</v>
      </c>
      <c r="M131" s="21">
        <v>7.9863000000000003E-2</v>
      </c>
    </row>
    <row r="132" spans="1:13" x14ac:dyDescent="0.3">
      <c r="A132" s="2">
        <v>56.27</v>
      </c>
      <c r="B132" s="21">
        <v>91.536000000000001</v>
      </c>
      <c r="C132" s="22">
        <v>4.5768000000000002E-4</v>
      </c>
      <c r="D132" s="21">
        <v>1.1393E-2</v>
      </c>
      <c r="E132" s="21">
        <v>91.566999999999993</v>
      </c>
      <c r="F132" s="22">
        <v>1.2897E-3</v>
      </c>
      <c r="G132" s="21">
        <v>3.2006E-2</v>
      </c>
      <c r="H132" s="21">
        <v>91.686999999999998</v>
      </c>
      <c r="I132" s="22">
        <v>8.3351999999999996E-2</v>
      </c>
      <c r="J132" s="21">
        <v>2.0449000000000002</v>
      </c>
      <c r="K132" s="21">
        <v>91.445999999999998</v>
      </c>
      <c r="L132" s="22">
        <v>3.0482E-3</v>
      </c>
      <c r="M132" s="21">
        <v>7.6549000000000006E-2</v>
      </c>
    </row>
    <row r="133" spans="1:13" x14ac:dyDescent="0.3">
      <c r="A133" s="2">
        <v>57.37</v>
      </c>
      <c r="B133" s="21">
        <v>90.015000000000001</v>
      </c>
      <c r="C133" s="22">
        <v>4.5007000000000001E-4</v>
      </c>
      <c r="D133" s="21">
        <v>1.0902E-2</v>
      </c>
      <c r="E133" s="21">
        <v>90.049000000000007</v>
      </c>
      <c r="F133" s="22">
        <v>1.2683E-3</v>
      </c>
      <c r="G133" s="21">
        <v>3.0623000000000001E-2</v>
      </c>
      <c r="H133" s="21">
        <v>90.180999999999997</v>
      </c>
      <c r="I133" s="22">
        <v>8.1983E-2</v>
      </c>
      <c r="J133" s="21">
        <v>1.9557</v>
      </c>
      <c r="K133" s="21">
        <v>89.915999999999997</v>
      </c>
      <c r="L133" s="22">
        <v>2.9972000000000002E-3</v>
      </c>
      <c r="M133" s="21">
        <v>7.3285000000000003E-2</v>
      </c>
    </row>
    <row r="134" spans="1:13" x14ac:dyDescent="0.3">
      <c r="A134" s="2">
        <v>58.46</v>
      </c>
      <c r="B134" s="21">
        <v>89.308999999999997</v>
      </c>
      <c r="C134" s="22">
        <v>4.4653999999999999E-4</v>
      </c>
      <c r="D134" s="21">
        <v>1.0414E-2</v>
      </c>
      <c r="E134" s="21">
        <v>89.353999999999999</v>
      </c>
      <c r="F134" s="22">
        <v>1.2585000000000001E-3</v>
      </c>
      <c r="G134" s="21">
        <v>2.9246000000000001E-2</v>
      </c>
      <c r="H134" s="21">
        <v>89.524000000000001</v>
      </c>
      <c r="I134" s="22">
        <v>8.1384999999999999E-2</v>
      </c>
      <c r="J134" s="21">
        <v>1.8664000000000001</v>
      </c>
      <c r="K134" s="21">
        <v>89.165000000000006</v>
      </c>
      <c r="L134" s="22">
        <v>2.9721999999999999E-3</v>
      </c>
      <c r="M134" s="21">
        <v>7.0045999999999997E-2</v>
      </c>
    </row>
    <row r="135" spans="1:13" x14ac:dyDescent="0.3">
      <c r="A135" s="2">
        <v>59.55</v>
      </c>
      <c r="B135" s="21">
        <v>89.262</v>
      </c>
      <c r="C135" s="22">
        <v>4.4631E-4</v>
      </c>
      <c r="D135" s="21">
        <v>9.9243999999999999E-3</v>
      </c>
      <c r="E135" s="21">
        <v>89.326999999999998</v>
      </c>
      <c r="F135" s="22">
        <v>1.2581000000000001E-3</v>
      </c>
      <c r="G135" s="21">
        <v>2.7864E-2</v>
      </c>
      <c r="H135" s="21">
        <v>89.552999999999997</v>
      </c>
      <c r="I135" s="22">
        <v>8.1410999999999997E-2</v>
      </c>
      <c r="J135" s="21">
        <v>1.7765</v>
      </c>
      <c r="K135" s="21">
        <v>89.043000000000006</v>
      </c>
      <c r="L135" s="22">
        <v>2.9681E-3</v>
      </c>
      <c r="M135" s="21">
        <v>6.6803000000000001E-2</v>
      </c>
    </row>
    <row r="136" spans="1:13" x14ac:dyDescent="0.3">
      <c r="A136" s="2">
        <v>60.65</v>
      </c>
      <c r="B136" s="21">
        <v>89.216999999999999</v>
      </c>
      <c r="C136" s="22">
        <v>4.4608000000000001E-4</v>
      </c>
      <c r="D136" s="21">
        <v>9.4365999999999998E-3</v>
      </c>
      <c r="E136" s="21">
        <v>89.3</v>
      </c>
      <c r="F136" s="22">
        <v>1.2577000000000001E-3</v>
      </c>
      <c r="G136" s="21">
        <v>2.6488000000000001E-2</v>
      </c>
      <c r="H136" s="21">
        <v>89.581999999999994</v>
      </c>
      <c r="I136" s="22">
        <v>8.1437999999999997E-2</v>
      </c>
      <c r="J136" s="21">
        <v>1.6872</v>
      </c>
      <c r="K136" s="21">
        <v>88.921999999999997</v>
      </c>
      <c r="L136" s="22">
        <v>2.9640999999999999E-3</v>
      </c>
      <c r="M136" s="21">
        <v>6.3565999999999998E-2</v>
      </c>
    </row>
    <row r="137" spans="1:13" x14ac:dyDescent="0.3">
      <c r="A137" s="2">
        <v>61.74</v>
      </c>
      <c r="B137" s="21">
        <v>89.171999999999997</v>
      </c>
      <c r="C137" s="22">
        <v>4.4586000000000002E-4</v>
      </c>
      <c r="D137" s="21">
        <v>8.9505000000000001E-3</v>
      </c>
      <c r="E137" s="21">
        <v>89.272999999999996</v>
      </c>
      <c r="F137" s="22">
        <v>1.2574000000000001E-3</v>
      </c>
      <c r="G137" s="21">
        <v>2.5118000000000001E-2</v>
      </c>
      <c r="H137" s="21">
        <v>89.611999999999995</v>
      </c>
      <c r="I137" s="22">
        <v>8.1464999999999996E-2</v>
      </c>
      <c r="J137" s="21">
        <v>1.5985</v>
      </c>
      <c r="K137" s="21">
        <v>88.802000000000007</v>
      </c>
      <c r="L137" s="22">
        <v>2.9600999999999998E-3</v>
      </c>
      <c r="M137" s="21">
        <v>6.0337000000000002E-2</v>
      </c>
    </row>
    <row r="138" spans="1:13" x14ac:dyDescent="0.3">
      <c r="A138" s="2">
        <v>62.83</v>
      </c>
      <c r="B138" s="21">
        <v>89.126999999999995</v>
      </c>
      <c r="C138" s="22">
        <v>4.4564000000000002E-4</v>
      </c>
      <c r="D138" s="21">
        <v>8.4661000000000007E-3</v>
      </c>
      <c r="E138" s="21">
        <v>89.248000000000005</v>
      </c>
      <c r="F138" s="22">
        <v>1.2570000000000001E-3</v>
      </c>
      <c r="G138" s="21">
        <v>2.3753E-2</v>
      </c>
      <c r="H138" s="21">
        <v>89.641999999999996</v>
      </c>
      <c r="I138" s="22">
        <v>8.1491999999999995E-2</v>
      </c>
      <c r="J138" s="21">
        <v>1.5104</v>
      </c>
      <c r="K138" s="21">
        <v>88.682000000000002</v>
      </c>
      <c r="L138" s="22">
        <v>2.9561000000000001E-3</v>
      </c>
      <c r="M138" s="21">
        <v>5.7113999999999998E-2</v>
      </c>
    </row>
    <row r="139" spans="1:13" x14ac:dyDescent="0.3">
      <c r="A139" s="2">
        <v>63.92</v>
      </c>
      <c r="B139" s="21">
        <v>89.082999999999998</v>
      </c>
      <c r="C139" s="22">
        <v>4.4541999999999997E-4</v>
      </c>
      <c r="D139" s="21">
        <v>7.9834999999999993E-3</v>
      </c>
      <c r="E139" s="21">
        <v>89.221999999999994</v>
      </c>
      <c r="F139" s="22">
        <v>1.2566999999999999E-3</v>
      </c>
      <c r="G139" s="21">
        <v>2.2394000000000001E-2</v>
      </c>
      <c r="H139" s="21">
        <v>89.671999999999997</v>
      </c>
      <c r="I139" s="22">
        <v>8.1519999999999995E-2</v>
      </c>
      <c r="J139" s="21">
        <v>1.4229000000000001</v>
      </c>
      <c r="K139" s="21">
        <v>88.563999999999993</v>
      </c>
      <c r="L139" s="22">
        <v>2.9521E-3</v>
      </c>
      <c r="M139" s="21">
        <v>5.3898000000000001E-2</v>
      </c>
    </row>
    <row r="140" spans="1:13" x14ac:dyDescent="0.3">
      <c r="A140" s="2">
        <v>65.02</v>
      </c>
      <c r="B140" s="21">
        <v>89.04</v>
      </c>
      <c r="C140" s="22">
        <v>4.4519999999999998E-4</v>
      </c>
      <c r="D140" s="21">
        <v>7.5024999999999996E-3</v>
      </c>
      <c r="E140" s="21">
        <v>89.197000000000003</v>
      </c>
      <c r="F140" s="22">
        <v>1.2562999999999999E-3</v>
      </c>
      <c r="G140" s="21">
        <v>2.104E-2</v>
      </c>
      <c r="H140" s="21">
        <v>89.703000000000003</v>
      </c>
      <c r="I140" s="22">
        <v>8.1547999999999995E-2</v>
      </c>
      <c r="J140" s="21">
        <v>1.3360000000000001</v>
      </c>
      <c r="K140" s="21">
        <v>88.445999999999998</v>
      </c>
      <c r="L140" s="22">
        <v>2.9482000000000002E-3</v>
      </c>
      <c r="M140" s="21">
        <v>5.0687999999999997E-2</v>
      </c>
    </row>
    <row r="141" spans="1:13" x14ac:dyDescent="0.3">
      <c r="A141" s="2">
        <v>66.11</v>
      </c>
      <c r="B141" s="21">
        <v>89.009</v>
      </c>
      <c r="C141" s="22">
        <v>4.4504000000000001E-4</v>
      </c>
      <c r="D141" s="21">
        <v>7.0228E-3</v>
      </c>
      <c r="E141" s="21">
        <v>89.185000000000002</v>
      </c>
      <c r="F141" s="22">
        <v>1.2561E-3</v>
      </c>
      <c r="G141" s="21">
        <v>1.9691E-2</v>
      </c>
      <c r="H141" s="21">
        <v>89.747</v>
      </c>
      <c r="I141" s="22">
        <v>8.1587999999999994E-2</v>
      </c>
      <c r="J141" s="21">
        <v>1.2495000000000001</v>
      </c>
      <c r="K141" s="21">
        <v>88.338999999999999</v>
      </c>
      <c r="L141" s="22">
        <v>2.9445999999999999E-3</v>
      </c>
      <c r="M141" s="21">
        <v>4.7483999999999998E-2</v>
      </c>
    </row>
    <row r="142" spans="1:13" x14ac:dyDescent="0.3">
      <c r="A142" s="2">
        <v>67.2</v>
      </c>
      <c r="B142" s="21">
        <v>89.311000000000007</v>
      </c>
      <c r="C142" s="22">
        <v>4.4654999999999999E-4</v>
      </c>
      <c r="D142" s="21">
        <v>6.5303000000000002E-3</v>
      </c>
      <c r="E142" s="21">
        <v>89.510999999999996</v>
      </c>
      <c r="F142" s="22">
        <v>1.2607E-3</v>
      </c>
      <c r="G142" s="21">
        <v>1.8294999999999999E-2</v>
      </c>
      <c r="H142" s="21">
        <v>90.129000000000005</v>
      </c>
      <c r="I142" s="22">
        <v>8.1935999999999995E-2</v>
      </c>
      <c r="J142" s="21">
        <v>1.1573</v>
      </c>
      <c r="K142" s="21">
        <v>88.536000000000001</v>
      </c>
      <c r="L142" s="22">
        <v>2.9512000000000002E-3</v>
      </c>
      <c r="M142" s="21">
        <v>4.4255000000000003E-2</v>
      </c>
    </row>
    <row r="143" spans="1:13" x14ac:dyDescent="0.3">
      <c r="A143" s="2">
        <v>68.290000000000006</v>
      </c>
      <c r="B143" s="21">
        <v>89.614000000000004</v>
      </c>
      <c r="C143" s="22">
        <v>4.4807000000000001E-4</v>
      </c>
      <c r="D143" s="21">
        <v>6.0400999999999996E-3</v>
      </c>
      <c r="E143" s="21">
        <v>89.838999999999999</v>
      </c>
      <c r="F143" s="22">
        <v>1.2653E-3</v>
      </c>
      <c r="G143" s="21">
        <v>1.6907999999999999E-2</v>
      </c>
      <c r="H143" s="21">
        <v>90.513999999999996</v>
      </c>
      <c r="I143" s="22">
        <v>8.2285999999999998E-2</v>
      </c>
      <c r="J143" s="21">
        <v>1.0662</v>
      </c>
      <c r="K143" s="21">
        <v>88.733999999999995</v>
      </c>
      <c r="L143" s="22">
        <v>2.9578E-3</v>
      </c>
      <c r="M143" s="21">
        <v>4.1029000000000003E-2</v>
      </c>
    </row>
    <row r="144" spans="1:13" x14ac:dyDescent="0.3">
      <c r="A144" s="2">
        <v>69.39</v>
      </c>
      <c r="B144" s="21">
        <v>89.918999999999997</v>
      </c>
      <c r="C144" s="22">
        <v>4.4958999999999998E-4</v>
      </c>
      <c r="D144" s="21">
        <v>5.5522000000000002E-3</v>
      </c>
      <c r="E144" s="21">
        <v>90.168000000000006</v>
      </c>
      <c r="F144" s="22">
        <v>1.2700000000000001E-3</v>
      </c>
      <c r="G144" s="21">
        <v>1.553E-2</v>
      </c>
      <c r="H144" s="21">
        <v>90.902000000000001</v>
      </c>
      <c r="I144" s="22">
        <v>8.2638000000000003E-2</v>
      </c>
      <c r="J144" s="21">
        <v>0.97624</v>
      </c>
      <c r="K144" s="21">
        <v>88.932000000000002</v>
      </c>
      <c r="L144" s="22">
        <v>2.9643999999999998E-3</v>
      </c>
      <c r="M144" s="21">
        <v>3.7805999999999999E-2</v>
      </c>
    </row>
    <row r="145" spans="1:13" x14ac:dyDescent="0.3">
      <c r="A145" s="2">
        <v>70.48</v>
      </c>
      <c r="B145" s="21">
        <v>90.224999999999994</v>
      </c>
      <c r="C145" s="22">
        <v>4.5112E-4</v>
      </c>
      <c r="D145" s="21">
        <v>5.0666000000000001E-3</v>
      </c>
      <c r="E145" s="21">
        <v>90.498999999999995</v>
      </c>
      <c r="F145" s="22">
        <v>1.2746000000000001E-3</v>
      </c>
      <c r="G145" s="21">
        <v>1.4160000000000001E-2</v>
      </c>
      <c r="H145" s="21">
        <v>91.293000000000006</v>
      </c>
      <c r="I145" s="22">
        <v>8.2992999999999997E-2</v>
      </c>
      <c r="J145" s="21">
        <v>0.88741999999999999</v>
      </c>
      <c r="K145" s="21">
        <v>89.131</v>
      </c>
      <c r="L145" s="22">
        <v>2.9710000000000001E-3</v>
      </c>
      <c r="M145" s="21">
        <v>3.4585999999999999E-2</v>
      </c>
    </row>
    <row r="146" spans="1:13" x14ac:dyDescent="0.3">
      <c r="A146" s="2">
        <v>71.569999999999993</v>
      </c>
      <c r="B146" s="21">
        <v>90.531999999999996</v>
      </c>
      <c r="C146" s="22">
        <v>4.5266000000000002E-4</v>
      </c>
      <c r="D146" s="21">
        <v>4.5831999999999999E-3</v>
      </c>
      <c r="E146" s="21">
        <v>90.831999999999994</v>
      </c>
      <c r="F146" s="22">
        <v>1.2792999999999999E-3</v>
      </c>
      <c r="G146" s="21">
        <v>1.2799E-2</v>
      </c>
      <c r="H146" s="21">
        <v>91.686000000000007</v>
      </c>
      <c r="I146" s="22">
        <v>8.3350999999999995E-2</v>
      </c>
      <c r="J146" s="21">
        <v>0.79973000000000005</v>
      </c>
      <c r="K146" s="21">
        <v>89.33</v>
      </c>
      <c r="L146" s="22">
        <v>2.9776999999999998E-3</v>
      </c>
      <c r="M146" s="21">
        <v>3.1369000000000001E-2</v>
      </c>
    </row>
    <row r="147" spans="1:13" x14ac:dyDescent="0.3">
      <c r="A147" s="2">
        <v>72.67</v>
      </c>
      <c r="B147" s="21">
        <v>90.840999999999994</v>
      </c>
      <c r="C147" s="22">
        <v>4.5420999999999998E-4</v>
      </c>
      <c r="D147" s="21">
        <v>4.1021E-3</v>
      </c>
      <c r="E147" s="21">
        <v>91.165999999999997</v>
      </c>
      <c r="F147" s="22">
        <v>1.284E-3</v>
      </c>
      <c r="G147" s="21">
        <v>1.1446E-2</v>
      </c>
      <c r="H147" s="21">
        <v>92.081000000000003</v>
      </c>
      <c r="I147" s="22">
        <v>8.3710000000000007E-2</v>
      </c>
      <c r="J147" s="21">
        <v>0.71318000000000004</v>
      </c>
      <c r="K147" s="21">
        <v>89.53</v>
      </c>
      <c r="L147" s="22">
        <v>2.9843000000000001E-3</v>
      </c>
      <c r="M147" s="21">
        <v>2.8154999999999999E-2</v>
      </c>
    </row>
    <row r="148" spans="1:13" x14ac:dyDescent="0.3">
      <c r="A148" s="2">
        <v>73.760000000000005</v>
      </c>
      <c r="B148" s="21">
        <v>91.152000000000001</v>
      </c>
      <c r="C148" s="22">
        <v>4.5575999999999999E-4</v>
      </c>
      <c r="D148" s="21">
        <v>3.6232999999999999E-3</v>
      </c>
      <c r="E148" s="21">
        <v>91.503</v>
      </c>
      <c r="F148" s="22">
        <v>1.2888000000000001E-3</v>
      </c>
      <c r="G148" s="21">
        <v>1.0101000000000001E-2</v>
      </c>
      <c r="H148" s="21">
        <v>92.48</v>
      </c>
      <c r="I148" s="22">
        <v>8.4071999999999994E-2</v>
      </c>
      <c r="J148" s="21">
        <v>0.62777000000000005</v>
      </c>
      <c r="K148" s="21">
        <v>89.730999999999995</v>
      </c>
      <c r="L148" s="22">
        <v>2.9910000000000002E-3</v>
      </c>
      <c r="M148" s="21">
        <v>2.4944999999999998E-2</v>
      </c>
    </row>
    <row r="149" spans="1:13" x14ac:dyDescent="0.3">
      <c r="A149" s="2">
        <v>74.849999999999994</v>
      </c>
      <c r="B149" s="21">
        <v>89.44</v>
      </c>
      <c r="C149" s="22">
        <v>4.4719999999999997E-4</v>
      </c>
      <c r="D149" s="21">
        <v>3.1262999999999998E-3</v>
      </c>
      <c r="E149" s="21">
        <v>89.616</v>
      </c>
      <c r="F149" s="22">
        <v>1.2622E-3</v>
      </c>
      <c r="G149" s="21">
        <v>8.6963000000000006E-3</v>
      </c>
      <c r="H149" s="21">
        <v>90.052000000000007</v>
      </c>
      <c r="I149" s="22">
        <v>8.1865999999999994E-2</v>
      </c>
      <c r="J149" s="21">
        <v>0.53608999999999996</v>
      </c>
      <c r="K149" s="21">
        <v>88.704999999999998</v>
      </c>
      <c r="L149" s="22">
        <v>2.9567999999999999E-3</v>
      </c>
      <c r="M149" s="21">
        <v>2.1680000000000001E-2</v>
      </c>
    </row>
    <row r="150" spans="1:13" x14ac:dyDescent="0.3">
      <c r="A150" s="2">
        <v>75.94</v>
      </c>
      <c r="B150" s="21">
        <v>85.858000000000004</v>
      </c>
      <c r="C150" s="22">
        <v>4.2928999999999998E-4</v>
      </c>
      <c r="D150" s="21">
        <v>2.6248E-3</v>
      </c>
      <c r="E150" s="21">
        <v>85.676000000000002</v>
      </c>
      <c r="F150" s="22">
        <v>1.2067E-3</v>
      </c>
      <c r="G150" s="21">
        <v>7.2741000000000004E-3</v>
      </c>
      <c r="H150" s="21">
        <v>85.021000000000001</v>
      </c>
      <c r="I150" s="22">
        <v>7.7292E-2</v>
      </c>
      <c r="J150" s="21">
        <v>0.44217000000000001</v>
      </c>
      <c r="K150" s="21">
        <v>86.542000000000002</v>
      </c>
      <c r="L150" s="22">
        <v>2.8847E-3</v>
      </c>
      <c r="M150" s="21">
        <v>1.8408000000000001E-2</v>
      </c>
    </row>
    <row r="151" spans="1:13" x14ac:dyDescent="0.3">
      <c r="A151" s="2">
        <v>77.040000000000006</v>
      </c>
      <c r="B151" s="21">
        <v>82.301000000000002</v>
      </c>
      <c r="C151" s="22">
        <v>4.1149999999999997E-4</v>
      </c>
      <c r="D151" s="21">
        <v>2.1415000000000002E-3</v>
      </c>
      <c r="E151" s="21">
        <v>81.766000000000005</v>
      </c>
      <c r="F151" s="22">
        <v>1.1516E-3</v>
      </c>
      <c r="G151" s="21">
        <v>5.9119000000000003E-3</v>
      </c>
      <c r="H151" s="21">
        <v>80.040000000000006</v>
      </c>
      <c r="I151" s="22">
        <v>7.2763999999999995E-2</v>
      </c>
      <c r="J151" s="21">
        <v>0.35402</v>
      </c>
      <c r="K151" s="21">
        <v>84.387</v>
      </c>
      <c r="L151" s="22">
        <v>2.8129000000000001E-3</v>
      </c>
      <c r="M151" s="21">
        <v>1.5193999999999999E-2</v>
      </c>
    </row>
    <row r="152" spans="1:13" x14ac:dyDescent="0.3">
      <c r="A152" s="2">
        <v>78.13</v>
      </c>
      <c r="B152" s="21">
        <v>78.77</v>
      </c>
      <c r="C152" s="22">
        <v>3.9385000000000001E-4</v>
      </c>
      <c r="D152" s="21">
        <v>1.6766000000000001E-3</v>
      </c>
      <c r="E152" s="21">
        <v>77.89</v>
      </c>
      <c r="F152" s="22">
        <v>1.0970000000000001E-3</v>
      </c>
      <c r="G152" s="21">
        <v>4.6096000000000002E-3</v>
      </c>
      <c r="H152" s="21">
        <v>75.12</v>
      </c>
      <c r="I152" s="22">
        <v>6.8290000000000003E-2</v>
      </c>
      <c r="J152" s="21">
        <v>0.27166000000000001</v>
      </c>
      <c r="K152" s="21">
        <v>82.241</v>
      </c>
      <c r="L152" s="22">
        <v>2.7414000000000002E-3</v>
      </c>
      <c r="M152" s="21">
        <v>1.2038E-2</v>
      </c>
    </row>
    <row r="153" spans="1:13" x14ac:dyDescent="0.3">
      <c r="A153" s="2">
        <v>79.22</v>
      </c>
      <c r="B153" s="21">
        <v>75.272000000000006</v>
      </c>
      <c r="C153" s="22">
        <v>3.7636000000000001E-4</v>
      </c>
      <c r="D153" s="21">
        <v>1.23E-3</v>
      </c>
      <c r="E153" s="21">
        <v>74.052999999999997</v>
      </c>
      <c r="F153" s="22">
        <v>1.0430000000000001E-3</v>
      </c>
      <c r="G153" s="21">
        <v>3.3673000000000002E-3</v>
      </c>
      <c r="H153" s="21">
        <v>70.272000000000006</v>
      </c>
      <c r="I153" s="22">
        <v>6.3882999999999995E-2</v>
      </c>
      <c r="J153" s="21">
        <v>0.19506999999999999</v>
      </c>
      <c r="K153" s="21">
        <v>80.102999999999994</v>
      </c>
      <c r="L153" s="22">
        <v>2.6700999999999999E-3</v>
      </c>
      <c r="M153" s="21">
        <v>8.9411999999999998E-3</v>
      </c>
    </row>
    <row r="154" spans="1:13" x14ac:dyDescent="0.3">
      <c r="A154" s="2">
        <v>80.31</v>
      </c>
      <c r="B154" s="21">
        <v>71.808000000000007</v>
      </c>
      <c r="C154" s="22">
        <v>3.5903999999999998E-4</v>
      </c>
      <c r="D154" s="21">
        <v>8.0165E-4</v>
      </c>
      <c r="E154" s="21">
        <v>70.263000000000005</v>
      </c>
      <c r="F154" s="22">
        <v>9.8962000000000008E-4</v>
      </c>
      <c r="G154" s="21">
        <v>2.1849E-3</v>
      </c>
      <c r="H154" s="21">
        <v>65.513000000000005</v>
      </c>
      <c r="I154" s="22">
        <v>5.9556999999999999E-2</v>
      </c>
      <c r="J154" s="21">
        <v>0.12427000000000001</v>
      </c>
      <c r="K154" s="21">
        <v>77.974999999999994</v>
      </c>
      <c r="L154" s="22">
        <v>2.5991999999999999E-3</v>
      </c>
      <c r="M154" s="21">
        <v>5.9024000000000004E-3</v>
      </c>
    </row>
    <row r="155" spans="1:13" x14ac:dyDescent="0.3">
      <c r="A155" s="2">
        <v>81.41</v>
      </c>
      <c r="B155" s="21">
        <v>68.387</v>
      </c>
      <c r="C155" s="22">
        <v>3.4193E-4</v>
      </c>
      <c r="D155" s="21">
        <v>3.9167E-4</v>
      </c>
      <c r="E155" s="21">
        <v>66.527000000000001</v>
      </c>
      <c r="F155" s="22">
        <v>9.3700000000000001E-4</v>
      </c>
      <c r="G155" s="21">
        <v>1.0625000000000001E-3</v>
      </c>
      <c r="H155" s="21">
        <v>60.863999999999997</v>
      </c>
      <c r="I155" s="22">
        <v>5.5330999999999998E-2</v>
      </c>
      <c r="J155" s="21">
        <v>5.9243999999999998E-2</v>
      </c>
      <c r="K155" s="21">
        <v>75.858999999999995</v>
      </c>
      <c r="L155" s="22">
        <v>2.5286000000000002E-3</v>
      </c>
      <c r="M155" s="21">
        <v>2.9220000000000001E-3</v>
      </c>
    </row>
    <row r="156" spans="1:13" x14ac:dyDescent="0.3">
      <c r="A156" s="2">
        <v>82.5</v>
      </c>
      <c r="B156" s="21">
        <v>65.012</v>
      </c>
      <c r="C156" s="22">
        <v>3.2506000000000001E-4</v>
      </c>
      <c r="D156" s="21">
        <v>0</v>
      </c>
      <c r="E156" s="21">
        <v>62.853999999999999</v>
      </c>
      <c r="F156" s="22">
        <v>8.8526999999999996E-4</v>
      </c>
      <c r="G156" s="21">
        <v>0</v>
      </c>
      <c r="H156" s="21">
        <v>56.353000000000002</v>
      </c>
      <c r="I156" s="22">
        <v>5.1229999999999998E-2</v>
      </c>
      <c r="J156" s="21">
        <v>0</v>
      </c>
      <c r="K156" s="21">
        <v>73.754000000000005</v>
      </c>
      <c r="L156" s="22">
        <v>2.4585000000000002E-3</v>
      </c>
      <c r="M156" s="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RowHeight="14.4" x14ac:dyDescent="0.3"/>
  <cols>
    <col min="1" max="1" width="16" customWidth="1"/>
    <col min="2" max="3" width="10" customWidth="1"/>
    <col min="4" max="4" width="18" customWidth="1"/>
    <col min="5" max="5" width="16" customWidth="1"/>
    <col min="6" max="7" width="22" customWidth="1"/>
  </cols>
  <sheetData>
    <row r="1" spans="1:7" ht="17.399999999999999" x14ac:dyDescent="0.3">
      <c r="A1" s="1" t="s">
        <v>114</v>
      </c>
      <c r="B1" s="2"/>
      <c r="C1" s="2"/>
      <c r="D1" s="2"/>
      <c r="E1" s="2"/>
      <c r="F1" s="2"/>
      <c r="G1" s="2"/>
    </row>
    <row r="2" spans="1:7" x14ac:dyDescent="0.3">
      <c r="A2" s="3" t="s">
        <v>115</v>
      </c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ht="31.95" customHeight="1" x14ac:dyDescent="0.3">
      <c r="A4" s="6" t="s">
        <v>116</v>
      </c>
      <c r="B4" s="6" t="s">
        <v>75</v>
      </c>
      <c r="C4" s="6" t="s">
        <v>76</v>
      </c>
      <c r="D4" s="6" t="s">
        <v>117</v>
      </c>
      <c r="E4" s="6" t="s">
        <v>118</v>
      </c>
      <c r="F4" s="6" t="s">
        <v>69</v>
      </c>
      <c r="G4" s="6" t="s">
        <v>119</v>
      </c>
    </row>
    <row r="5" spans="1:7" x14ac:dyDescent="0.3">
      <c r="A5" s="23" t="s">
        <v>120</v>
      </c>
      <c r="B5" s="23">
        <v>564</v>
      </c>
      <c r="C5" s="23">
        <v>63</v>
      </c>
      <c r="D5" s="24">
        <v>8.9396094040916169E-2</v>
      </c>
      <c r="E5" s="25">
        <v>6.5882655713510937E-4</v>
      </c>
      <c r="F5" s="26">
        <v>131.7653151213236</v>
      </c>
      <c r="G5" s="23"/>
    </row>
    <row r="6" spans="1:7" x14ac:dyDescent="0.3">
      <c r="A6" s="9">
        <v>6</v>
      </c>
      <c r="B6" s="9">
        <v>1013</v>
      </c>
      <c r="C6" s="9">
        <v>120</v>
      </c>
      <c r="D6" s="27">
        <v>8.9404229243330302E-2</v>
      </c>
      <c r="E6" s="11">
        <v>6.6266427367669164E-4</v>
      </c>
      <c r="F6" s="12">
        <v>132.53285568567179</v>
      </c>
      <c r="G6" s="28">
        <f t="shared" ref="G6:G11" si="0">(F6-F5)/F5</f>
        <v>5.8250577068895424E-3</v>
      </c>
    </row>
    <row r="7" spans="1:7" x14ac:dyDescent="0.3">
      <c r="A7" s="9">
        <v>4</v>
      </c>
      <c r="B7" s="9">
        <v>1828</v>
      </c>
      <c r="C7" s="9">
        <v>225</v>
      </c>
      <c r="D7" s="27">
        <v>8.9409726435949216E-2</v>
      </c>
      <c r="E7" s="11">
        <v>6.6996473182427533E-4</v>
      </c>
      <c r="F7" s="12">
        <v>133.99294972499479</v>
      </c>
      <c r="G7" s="28">
        <f t="shared" si="0"/>
        <v>1.1016845836219674E-2</v>
      </c>
    </row>
    <row r="8" spans="1:7" x14ac:dyDescent="0.3">
      <c r="A8" s="9">
        <v>3</v>
      </c>
      <c r="B8" s="9">
        <v>3116</v>
      </c>
      <c r="C8" s="9">
        <v>399</v>
      </c>
      <c r="D8" s="27">
        <v>8.9412743503623229E-2</v>
      </c>
      <c r="E8" s="11">
        <v>6.7231704029614226E-4</v>
      </c>
      <c r="F8" s="12">
        <v>134.4634085339965</v>
      </c>
      <c r="G8" s="28">
        <f t="shared" si="0"/>
        <v>3.5110713658239143E-3</v>
      </c>
    </row>
    <row r="9" spans="1:7" x14ac:dyDescent="0.3">
      <c r="A9" s="9">
        <v>2</v>
      </c>
      <c r="B9" s="9">
        <v>10115</v>
      </c>
      <c r="C9" s="9">
        <v>1700</v>
      </c>
      <c r="D9" s="27">
        <v>8.9416997315517457E-2</v>
      </c>
      <c r="E9" s="11">
        <v>6.7298741708060204E-4</v>
      </c>
      <c r="F9" s="12">
        <v>134.5974875815474</v>
      </c>
      <c r="G9" s="28">
        <f t="shared" si="0"/>
        <v>9.9714151985816151E-4</v>
      </c>
    </row>
    <row r="10" spans="1:7" x14ac:dyDescent="0.3">
      <c r="A10" s="9">
        <v>1.5</v>
      </c>
      <c r="B10" s="9">
        <v>17021</v>
      </c>
      <c r="C10" s="9">
        <v>2912</v>
      </c>
      <c r="D10" s="27">
        <v>8.9418323366668939E-2</v>
      </c>
      <c r="E10" s="11">
        <v>6.770339296570619E-4</v>
      </c>
      <c r="F10" s="12">
        <v>135.40679151967001</v>
      </c>
      <c r="G10" s="28">
        <f t="shared" si="0"/>
        <v>6.0127715060972796E-3</v>
      </c>
    </row>
    <row r="11" spans="1:7" x14ac:dyDescent="0.3">
      <c r="A11" s="9">
        <v>1</v>
      </c>
      <c r="B11" s="9">
        <v>49648</v>
      </c>
      <c r="C11" s="9">
        <v>9519</v>
      </c>
      <c r="D11" s="27">
        <v>8.9421236253288558E-2</v>
      </c>
      <c r="E11" s="11">
        <v>7.7961848940399285E-4</v>
      </c>
      <c r="F11" s="12">
        <v>155.92370134728611</v>
      </c>
      <c r="G11" s="28">
        <f t="shared" si="0"/>
        <v>0.15152053746606717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4.4" x14ac:dyDescent="0.3"/>
  <sheetData>
    <row r="1" spans="1:1" ht="17.399999999999999" x14ac:dyDescent="0.3">
      <c r="A1" s="1" t="s">
        <v>13</v>
      </c>
    </row>
    <row r="2" spans="1:1" x14ac:dyDescent="0.3">
      <c r="A2" s="3" t="s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Inputs</vt:lpstr>
      <vt:lpstr>Results_FEA</vt:lpstr>
      <vt:lpstr>Validation</vt:lpstr>
      <vt:lpstr>Path_Distribution</vt:lpstr>
      <vt:lpstr>Mesh_Convergence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Dhairya Sanathara</cp:lastModifiedBy>
  <dcterms:created xsi:type="dcterms:W3CDTF">2026-10-05T08:14:58Z</dcterms:created>
  <dcterms:modified xsi:type="dcterms:W3CDTF">2026-10-05T08:15:27Z</dcterms:modified>
</cp:coreProperties>
</file>